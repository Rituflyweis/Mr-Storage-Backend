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27" windowHeight="9000" firstSheet="4" activeTab="5"/>
  </bookViews>
  <sheets>
    <sheet name="Cover " sheetId="1" r:id="rId1"/>
    <sheet name="1. STUDS &amp; TOP CHANNELS" sheetId="2" r:id="rId2"/>
    <sheet name="2. DOOR JAMBS &amp; HEADERS" sheetId="3" r:id="rId3"/>
    <sheet name="3. PURLINS, EAVE STRUTS, WALL G" sheetId="4" r:id="rId4"/>
    <sheet name="4. ROOF &amp; WALL SHEETING" sheetId="5" r:id="rId5"/>
    <sheet name="5. CONNECTION PLATES" sheetId="6" r:id="rId6"/>
    <sheet name="6. ANGLES" sheetId="7" r:id="rId7"/>
    <sheet name="7. TRIM" sheetId="8" r:id="rId8"/>
    <sheet name="8.ACCESSORIES" sheetId="9" r:id="rId9"/>
    <sheet name="9.FASTENERS" sheetId="11" r:id="rId10"/>
  </sheets>
  <definedNames>
    <definedName name="_xlnm.Print_Area" localSheetId="1">'1. STUDS &amp; TOP CHANNELS'!$A$1:$I$22</definedName>
    <definedName name="_xlnm.Print_Area" localSheetId="3">'3. PURLINS, EAVE STRUTS, WALL G'!$A$1:$I$18</definedName>
    <definedName name="_xlnm.Print_Area" localSheetId="4">'4. ROOF &amp; WALL SHEETING'!$A$1:$I$20</definedName>
    <definedName name="_xlnm.Print_Area" localSheetId="5">'5. CONNECTION PLATES'!$A$1:$I$16</definedName>
    <definedName name="_xlnm.Print_Area" localSheetId="6">'6. ANGLES'!$A$1:$I$19</definedName>
    <definedName name="_xlnm.Print_Area" localSheetId="8">'8.ACCESSORIES'!$A$1:$I$15</definedName>
    <definedName name="_xlnm.Print_Area" localSheetId="0">'Cover '!$A$1:$M$37</definedName>
    <definedName name="_xlnm.Print_Area" localSheetId="9">'9.FASTENERS'!$A$1:$I$13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<sst xmlns="http://schemas.openxmlformats.org/spreadsheetml/2006/main" count="559" uniqueCount="226">
  <si>
    <t>SHIPPING LIST FOR</t>
  </si>
  <si>
    <t>6959ParisTNexpansion1</t>
  </si>
  <si>
    <t xml:space="preserve"> </t>
  </si>
  <si>
    <t>STORAGE MATERIAL</t>
  </si>
  <si>
    <t>1851 Madison Ave #300</t>
  </si>
  <si>
    <t>Council Bluffs, IA 51503</t>
  </si>
  <si>
    <t>NORTH SANTA FE AVE MOORE, OK 73160</t>
  </si>
  <si>
    <t>BUILDING-C DATA</t>
  </si>
  <si>
    <t>Width (ft)</t>
  </si>
  <si>
    <t>=</t>
  </si>
  <si>
    <t>Length (ft)</t>
  </si>
  <si>
    <t>Eave Height (ft)</t>
  </si>
  <si>
    <t>Roof Slope (rise/12)</t>
  </si>
  <si>
    <t>0.50/12</t>
  </si>
  <si>
    <t xml:space="preserve">Dead Load (psf) </t>
  </si>
  <si>
    <t>Collateral (psf)</t>
  </si>
  <si>
    <t xml:space="preserve"> Roof Live Load (psf)</t>
  </si>
  <si>
    <t>Frame Live Load (psf)</t>
  </si>
  <si>
    <t>Snow Load (psf)</t>
  </si>
  <si>
    <t>Wind Speed(mph)</t>
  </si>
  <si>
    <t>Wind Code</t>
  </si>
  <si>
    <t>IBC 12</t>
  </si>
  <si>
    <t>Closed/Open</t>
  </si>
  <si>
    <t>Enclosed</t>
  </si>
  <si>
    <t>Exposure</t>
  </si>
  <si>
    <t>C</t>
  </si>
  <si>
    <t>Importance - Wind</t>
  </si>
  <si>
    <t>Seismic Design Category</t>
  </si>
  <si>
    <t>D</t>
  </si>
  <si>
    <t>Importance - Seismic</t>
  </si>
  <si>
    <t>STORAGE MATERIALS</t>
  </si>
  <si>
    <t>COLUMNS &amp; RAFTERS</t>
  </si>
  <si>
    <t>Date</t>
  </si>
  <si>
    <t>Job Id</t>
  </si>
  <si>
    <t>Building-1</t>
  </si>
  <si>
    <t>Customer</t>
  </si>
  <si>
    <t>#6959ParisTNexpansion1</t>
  </si>
  <si>
    <t>Building Size</t>
  </si>
  <si>
    <t>Self Storage Building</t>
  </si>
  <si>
    <t>SHEET</t>
  </si>
  <si>
    <t>OF</t>
  </si>
  <si>
    <t>9</t>
  </si>
  <si>
    <t>QTY</t>
  </si>
  <si>
    <t>MARK</t>
  </si>
  <si>
    <t>DESCRIPTION</t>
  </si>
  <si>
    <t>PART</t>
  </si>
  <si>
    <t>COLOR</t>
  </si>
  <si>
    <t>LENGTH</t>
  </si>
  <si>
    <t>WEIGHT</t>
  </si>
  <si>
    <t>S-1</t>
  </si>
  <si>
    <t>STUD</t>
  </si>
  <si>
    <t>C42516</t>
  </si>
  <si>
    <t>8'-7 1/4"</t>
  </si>
  <si>
    <t>S-2</t>
  </si>
  <si>
    <t>8'-8 1/4"</t>
  </si>
  <si>
    <t>S-3</t>
  </si>
  <si>
    <t>8'-10 3/4</t>
  </si>
  <si>
    <t>TC-1</t>
  </si>
  <si>
    <t>TOP CHANNEL</t>
  </si>
  <si>
    <t>U42516</t>
  </si>
  <si>
    <t>19'-11 3/4"</t>
  </si>
  <si>
    <t>TC-2</t>
  </si>
  <si>
    <t>20'</t>
  </si>
  <si>
    <t>RF-1</t>
  </si>
  <si>
    <t>RF RAFTER</t>
  </si>
  <si>
    <t>10'-0 1/8"</t>
  </si>
  <si>
    <t>Total Weight:</t>
  </si>
  <si>
    <t>Colors:   RO  - Red Oxide</t>
  </si>
  <si>
    <t>Recd. By:</t>
  </si>
  <si>
    <t>UNLESS OTHERWISE NOTED ALL MATERIAL</t>
  </si>
  <si>
    <t>HAS BEEN RECEIVED IN GOOD CONDITION</t>
  </si>
  <si>
    <t>OPENING FRAMING</t>
  </si>
  <si>
    <t>DJ-1</t>
  </si>
  <si>
    <t>Door Jamb</t>
  </si>
  <si>
    <t>C43516</t>
  </si>
  <si>
    <t>Rustic</t>
  </si>
  <si>
    <t>DH-1</t>
  </si>
  <si>
    <t>Door Header</t>
  </si>
  <si>
    <t>8'</t>
  </si>
  <si>
    <t>DH-2</t>
  </si>
  <si>
    <t>3'</t>
  </si>
  <si>
    <t>Colors: Rustic</t>
  </si>
  <si>
    <t>PURLINS,EAVE STRUT,GIRT</t>
  </si>
  <si>
    <t>P-1</t>
  </si>
  <si>
    <t>PURLIN</t>
  </si>
  <si>
    <t>Z42516</t>
  </si>
  <si>
    <t>20'-11 3/4"</t>
  </si>
  <si>
    <t>242.7</t>
  </si>
  <si>
    <t>P-2</t>
  </si>
  <si>
    <t>22'</t>
  </si>
  <si>
    <t>636.3</t>
  </si>
  <si>
    <t>G-1</t>
  </si>
  <si>
    <t>GIRT</t>
  </si>
  <si>
    <t>4'-</t>
  </si>
  <si>
    <t>53.5</t>
  </si>
  <si>
    <t>4'-7"</t>
  </si>
  <si>
    <t>17.0</t>
  </si>
  <si>
    <t>ROOF &amp; WALL SHEETING</t>
  </si>
  <si>
    <t>4</t>
  </si>
  <si>
    <t>ES-1</t>
  </si>
  <si>
    <t>EW Sheet</t>
  </si>
  <si>
    <t>RLOC26</t>
  </si>
  <si>
    <t>Desert</t>
  </si>
  <si>
    <t>9'-3"</t>
  </si>
  <si>
    <t>89.9</t>
  </si>
  <si>
    <t>ES-2</t>
  </si>
  <si>
    <t>45.6</t>
  </si>
  <si>
    <t>ES-3</t>
  </si>
  <si>
    <t>46.3</t>
  </si>
  <si>
    <t>ES-4</t>
  </si>
  <si>
    <t>46.7</t>
  </si>
  <si>
    <t>ES-5</t>
  </si>
  <si>
    <t>46.0</t>
  </si>
  <si>
    <t>ES-6</t>
  </si>
  <si>
    <t>45.4</t>
  </si>
  <si>
    <t>SS-1</t>
  </si>
  <si>
    <t>SW Sheet</t>
  </si>
  <si>
    <t>1'-6"</t>
  </si>
  <si>
    <t>372.7</t>
  </si>
  <si>
    <t>CONNECTION PLATES</t>
  </si>
  <si>
    <t>5</t>
  </si>
  <si>
    <t>Ang</t>
  </si>
  <si>
    <t>Thk</t>
  </si>
  <si>
    <t>Width</t>
  </si>
  <si>
    <t>MINICL</t>
  </si>
  <si>
    <t>Col-Grt Plt</t>
  </si>
  <si>
    <t>MINICLIP</t>
  </si>
  <si>
    <t>90</t>
  </si>
  <si>
    <t>3-00"</t>
  </si>
  <si>
    <t>6'</t>
  </si>
  <si>
    <t>27.20</t>
  </si>
  <si>
    <t>Hdr-Jmb Plt</t>
  </si>
  <si>
    <t>108.80</t>
  </si>
  <si>
    <t>BASECL</t>
  </si>
  <si>
    <t>Col-Bas Plt</t>
  </si>
  <si>
    <t>BASECLIP</t>
  </si>
  <si>
    <t>2-08"</t>
  </si>
  <si>
    <t>96.90</t>
  </si>
  <si>
    <t>ANGLES</t>
  </si>
  <si>
    <t>6</t>
  </si>
  <si>
    <t>THICK</t>
  </si>
  <si>
    <t>PUNCH</t>
  </si>
  <si>
    <t>RA</t>
  </si>
  <si>
    <t>L4x2x16g Angl</t>
  </si>
  <si>
    <t>B4216</t>
  </si>
  <si>
    <t>RO</t>
  </si>
  <si>
    <t>See Dwg</t>
  </si>
  <si>
    <t>9'-11 1/8"</t>
  </si>
  <si>
    <t>BA</t>
  </si>
  <si>
    <t>GZ</t>
  </si>
  <si>
    <t>BC4PSP</t>
  </si>
  <si>
    <t>4" Base Chann</t>
  </si>
  <si>
    <t>5'</t>
  </si>
  <si>
    <t>1'- 11 1/2"</t>
  </si>
  <si>
    <t>BC5PSP</t>
  </si>
  <si>
    <t>11'</t>
  </si>
  <si>
    <t>7.6</t>
  </si>
  <si>
    <t>JTRACK</t>
  </si>
  <si>
    <t>18g J Track</t>
  </si>
  <si>
    <t>8'-7"</t>
  </si>
  <si>
    <t>64.4</t>
  </si>
  <si>
    <t>TRIM</t>
  </si>
  <si>
    <t>7</t>
  </si>
  <si>
    <t>PITCH</t>
  </si>
  <si>
    <t>LEA204</t>
  </si>
  <si>
    <t>Long Trim</t>
  </si>
  <si>
    <t>0-08"</t>
  </si>
  <si>
    <t>20'-4"</t>
  </si>
  <si>
    <t>RA102</t>
  </si>
  <si>
    <t>Rake Trim</t>
  </si>
  <si>
    <t>12'-2"</t>
  </si>
  <si>
    <t>REND</t>
  </si>
  <si>
    <t>Rake Trim End</t>
  </si>
  <si>
    <t>1'</t>
  </si>
  <si>
    <t>PBOXF</t>
  </si>
  <si>
    <t>Peak Box</t>
  </si>
  <si>
    <t>OU102</t>
  </si>
  <si>
    <t>Outside Corner</t>
  </si>
  <si>
    <t>10'-2"</t>
  </si>
  <si>
    <t>4MC24</t>
  </si>
  <si>
    <t>4" MULLION CO</t>
  </si>
  <si>
    <t>7'</t>
  </si>
  <si>
    <t>4MCE12</t>
  </si>
  <si>
    <t>4" FLAT COR M</t>
  </si>
  <si>
    <t>HE036</t>
  </si>
  <si>
    <t>Head Trim</t>
  </si>
  <si>
    <t>HE083</t>
  </si>
  <si>
    <t>3'-6"</t>
  </si>
  <si>
    <t>Head Cover</t>
  </si>
  <si>
    <t>HC080</t>
  </si>
  <si>
    <t>HC030</t>
  </si>
  <si>
    <t>Colors:   Rustic</t>
  </si>
  <si>
    <t>ACCESSORIES</t>
  </si>
  <si>
    <t>8</t>
  </si>
  <si>
    <t>FAB LENGTH</t>
  </si>
  <si>
    <t>1 LOT</t>
  </si>
  <si>
    <t>R30 VRR+ Roof Insulation</t>
  </si>
  <si>
    <t>ROOF</t>
  </si>
  <si>
    <t>R19 VRR+ Roof Insulation</t>
  </si>
  <si>
    <t>WALL</t>
  </si>
  <si>
    <t>FASTENERS</t>
  </si>
  <si>
    <t>TYPE</t>
  </si>
  <si>
    <t>DIA</t>
  </si>
  <si>
    <t>M/M SCREW #12114MM</t>
  </si>
  <si>
    <t>114MM</t>
  </si>
  <si>
    <t>GALVALUME</t>
  </si>
  <si>
    <t>CLIP</t>
  </si>
  <si>
    <t>1'-4"</t>
  </si>
  <si>
    <t>ZACSCREW M/M 114ZACMM</t>
  </si>
  <si>
    <t>114ZAC</t>
  </si>
  <si>
    <t>PLAIN</t>
  </si>
  <si>
    <t>1" M/M No Was1MMNW</t>
  </si>
  <si>
    <t>1MMNW</t>
  </si>
  <si>
    <t>M/M SCREW #1278LAP</t>
  </si>
  <si>
    <t>78LAP</t>
  </si>
  <si>
    <t>ANGLE</t>
  </si>
  <si>
    <t>1'-2"</t>
  </si>
  <si>
    <t>ZACSCREW LAP 78ZACLAP</t>
  </si>
  <si>
    <t>78ZAC</t>
  </si>
  <si>
    <t>Pop Rivet</t>
  </si>
  <si>
    <t>POP</t>
  </si>
  <si>
    <t>3"</t>
  </si>
  <si>
    <t>1/2WDG</t>
  </si>
  <si>
    <t>2" M/M 2MM GZ</t>
  </si>
  <si>
    <t>2MM</t>
  </si>
  <si>
    <t>2'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</si>
</sst>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000"/>
    <numFmt numFmtId="180" formatCode="#,##0.0"/>
    <numFmt numFmtId="181" formatCode="mmmm\ d\,\ yyyy"/>
  </numFmts>
  <fonts count="32">
    <font>
      <sz val="10"/>
      <color rgb="FF000000"/>
      <name val="Calibri"/>
      <charset val="134"/>
      <scheme val="minor"/>
    </font>
    <font>
      <b/>
      <sz val="20"/>
      <name val="Calibri"/>
      <charset val="134"/>
    </font>
    <font>
      <sz val="10"/>
      <name val="Calibri"/>
      <charset val="134"/>
      <scheme val="minor"/>
    </font>
    <font>
      <b/>
      <i/>
      <sz val="14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0"/>
      <name val="Arial"/>
      <charset val="134"/>
    </font>
    <font>
      <sz val="11"/>
      <name val="Calibri"/>
      <charset val="134"/>
    </font>
    <font>
      <b/>
      <sz val="10"/>
      <name val="Arial"/>
      <charset val="134"/>
    </font>
    <font>
      <sz val="12"/>
      <name val="Calibri"/>
      <charset val="134"/>
    </font>
    <font>
      <i/>
      <sz val="12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3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9" fillId="0" borderId="37" applyNumberFormat="0" applyFill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39" applyNumberFormat="0" applyAlignment="0" applyProtection="0">
      <alignment vertical="center"/>
    </xf>
    <xf numFmtId="0" fontId="22" fillId="5" borderId="40" applyNumberFormat="0" applyAlignment="0" applyProtection="0">
      <alignment vertical="center"/>
    </xf>
    <xf numFmtId="0" fontId="23" fillId="5" borderId="39" applyNumberFormat="0" applyAlignment="0" applyProtection="0">
      <alignment vertical="center"/>
    </xf>
    <xf numFmtId="0" fontId="24" fillId="6" borderId="41" applyNumberFormat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178" fontId="4" fillId="0" borderId="4" xfId="0" applyNumberFormat="1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4" xfId="0" applyFont="1" applyBorder="1" applyAlignment="1">
      <alignment vertical="top" wrapText="1"/>
    </xf>
    <xf numFmtId="0" fontId="5" fillId="0" borderId="0" xfId="0" applyFont="1"/>
    <xf numFmtId="0" fontId="4" fillId="0" borderId="9" xfId="0" applyFont="1" applyBorder="1" applyAlignment="1">
      <alignment horizontal="left" vertical="top" wrapText="1"/>
    </xf>
    <xf numFmtId="0" fontId="2" fillId="0" borderId="10" xfId="0" applyFont="1" applyBorder="1"/>
    <xf numFmtId="0" fontId="4" fillId="0" borderId="1" xfId="0" applyFont="1" applyBorder="1" applyAlignment="1">
      <alignment horizontal="left" vertical="top" wrapText="1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4" fillId="0" borderId="15" xfId="0" applyFont="1" applyBorder="1" applyAlignment="1">
      <alignment horizontal="left" vertical="top" wrapText="1"/>
    </xf>
    <xf numFmtId="49" fontId="4" fillId="0" borderId="16" xfId="0" applyNumberFormat="1" applyFont="1" applyBorder="1" applyAlignment="1">
      <alignment horizontal="left" vertical="top" wrapText="1"/>
    </xf>
    <xf numFmtId="0" fontId="4" fillId="0" borderId="17" xfId="0" applyFont="1" applyBorder="1" applyAlignment="1">
      <alignment horizontal="center" vertical="top" wrapText="1"/>
    </xf>
    <xf numFmtId="49" fontId="4" fillId="0" borderId="18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2" fillId="0" borderId="21" xfId="0" applyFont="1" applyBorder="1"/>
    <xf numFmtId="0" fontId="2" fillId="0" borderId="22" xfId="0" applyFont="1" applyBorder="1"/>
    <xf numFmtId="1" fontId="5" fillId="2" borderId="9" xfId="0" applyNumberFormat="1" applyFont="1" applyFill="1" applyBorder="1" applyAlignment="1">
      <alignment horizontal="center" wrapText="1"/>
    </xf>
    <xf numFmtId="49" fontId="5" fillId="2" borderId="23" xfId="0" applyNumberFormat="1" applyFont="1" applyFill="1" applyBorder="1" applyAlignment="1">
      <alignment horizontal="center" wrapText="1"/>
    </xf>
    <xf numFmtId="49" fontId="5" fillId="2" borderId="24" xfId="0" applyNumberFormat="1" applyFont="1" applyFill="1" applyBorder="1" applyAlignment="1">
      <alignment horizontal="center" wrapText="1"/>
    </xf>
    <xf numFmtId="49" fontId="5" fillId="2" borderId="25" xfId="0" applyNumberFormat="1" applyFont="1" applyFill="1" applyBorder="1" applyAlignment="1">
      <alignment horizontal="center" wrapText="1"/>
    </xf>
    <xf numFmtId="49" fontId="5" fillId="2" borderId="10" xfId="0" applyNumberFormat="1" applyFont="1" applyFill="1" applyBorder="1" applyAlignment="1">
      <alignment horizontal="center" wrapText="1"/>
    </xf>
    <xf numFmtId="179" fontId="6" fillId="2" borderId="10" xfId="0" applyNumberFormat="1" applyFont="1" applyFill="1" applyBorder="1"/>
    <xf numFmtId="2" fontId="5" fillId="2" borderId="10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79" fontId="6" fillId="2" borderId="25" xfId="0" applyNumberFormat="1" applyFont="1" applyFill="1" applyBorder="1"/>
    <xf numFmtId="2" fontId="5" fillId="2" borderId="25" xfId="0" applyNumberFormat="1" applyFont="1" applyFill="1" applyBorder="1" applyAlignment="1">
      <alignment horizontal="center" wrapText="1"/>
    </xf>
    <xf numFmtId="1" fontId="6" fillId="2" borderId="7" xfId="0" applyNumberFormat="1" applyFont="1" applyFill="1" applyBorder="1" applyAlignment="1">
      <alignment horizontal="center"/>
    </xf>
    <xf numFmtId="49" fontId="6" fillId="2" borderId="25" xfId="0" applyNumberFormat="1" applyFont="1" applyFill="1" applyBorder="1"/>
    <xf numFmtId="49" fontId="5" fillId="0" borderId="16" xfId="0" applyNumberFormat="1" applyFont="1" applyBorder="1" applyAlignment="1">
      <alignment horizontal="center" wrapText="1"/>
    </xf>
    <xf numFmtId="49" fontId="5" fillId="0" borderId="17" xfId="0" applyNumberFormat="1" applyFont="1" applyBorder="1" applyAlignment="1">
      <alignment horizontal="center" wrapText="1"/>
    </xf>
    <xf numFmtId="0" fontId="4" fillId="0" borderId="17" xfId="0" applyFont="1" applyBorder="1" applyAlignment="1">
      <alignment wrapText="1"/>
    </xf>
    <xf numFmtId="2" fontId="4" fillId="0" borderId="18" xfId="0" applyNumberFormat="1" applyFont="1" applyBorder="1" applyAlignment="1">
      <alignment horizontal="center" wrapText="1"/>
    </xf>
    <xf numFmtId="0" fontId="6" fillId="0" borderId="0" xfId="0" applyFont="1"/>
    <xf numFmtId="0" fontId="5" fillId="0" borderId="20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20" xfId="0" applyFont="1" applyBorder="1" applyAlignment="1">
      <alignment horizontal="center"/>
    </xf>
    <xf numFmtId="0" fontId="2" fillId="0" borderId="26" xfId="0" applyFont="1" applyBorder="1"/>
    <xf numFmtId="0" fontId="5" fillId="0" borderId="7" xfId="0" applyFont="1" applyBorder="1" applyAlignment="1">
      <alignment horizontal="center"/>
    </xf>
    <xf numFmtId="0" fontId="2" fillId="0" borderId="25" xfId="0" applyFont="1" applyBorder="1"/>
    <xf numFmtId="0" fontId="5" fillId="0" borderId="0" xfId="0" applyFont="1" applyAlignment="1">
      <alignment vertical="top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179" fontId="5" fillId="0" borderId="4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right" vertical="top" wrapText="1"/>
    </xf>
    <xf numFmtId="49" fontId="5" fillId="0" borderId="18" xfId="0" applyNumberFormat="1" applyFont="1" applyBorder="1" applyAlignment="1">
      <alignment horizontal="left" vertical="top" wrapText="1"/>
    </xf>
    <xf numFmtId="49" fontId="5" fillId="0" borderId="15" xfId="0" applyNumberFormat="1" applyFont="1" applyBorder="1" applyAlignment="1">
      <alignment horizontal="left" vertical="top" wrapText="1"/>
    </xf>
    <xf numFmtId="179" fontId="5" fillId="0" borderId="15" xfId="0" applyNumberFormat="1" applyFont="1" applyBorder="1" applyAlignment="1">
      <alignment horizontal="left" vertical="top" wrapText="1"/>
    </xf>
    <xf numFmtId="2" fontId="5" fillId="0" borderId="16" xfId="0" applyNumberFormat="1" applyFont="1" applyBorder="1" applyAlignment="1">
      <alignment horizontal="left" vertical="top" wrapText="1"/>
    </xf>
    <xf numFmtId="0" fontId="2" fillId="0" borderId="18" xfId="0" applyFont="1" applyBorder="1"/>
    <xf numFmtId="2" fontId="5" fillId="0" borderId="15" xfId="0" applyNumberFormat="1" applyFont="1" applyBorder="1" applyAlignment="1">
      <alignment horizontal="left" vertical="top" wrapText="1"/>
    </xf>
    <xf numFmtId="2" fontId="5" fillId="0" borderId="15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wrapText="1"/>
    </xf>
    <xf numFmtId="49" fontId="5" fillId="0" borderId="0" xfId="0" applyNumberFormat="1" applyFont="1" applyAlignment="1">
      <alignment horizontal="center" vertical="top" wrapText="1"/>
    </xf>
    <xf numFmtId="49" fontId="5" fillId="0" borderId="21" xfId="0" applyNumberFormat="1" applyFont="1" applyBorder="1" applyAlignment="1">
      <alignment horizontal="center" wrapText="1"/>
    </xf>
    <xf numFmtId="49" fontId="5" fillId="0" borderId="27" xfId="0" applyNumberFormat="1" applyFont="1" applyBorder="1" applyAlignment="1">
      <alignment horizontal="center" wrapText="1"/>
    </xf>
    <xf numFmtId="0" fontId="4" fillId="0" borderId="27" xfId="0" applyFont="1" applyBorder="1" applyAlignment="1">
      <alignment wrapText="1"/>
    </xf>
    <xf numFmtId="2" fontId="4" fillId="0" borderId="28" xfId="0" applyNumberFormat="1" applyFont="1" applyBorder="1" applyAlignment="1">
      <alignment wrapText="1"/>
    </xf>
    <xf numFmtId="0" fontId="5" fillId="0" borderId="0" xfId="0" applyFont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6" xfId="0" applyFont="1" applyBorder="1"/>
    <xf numFmtId="0" fontId="5" fillId="0" borderId="26" xfId="0" applyFont="1" applyBorder="1" applyAlignment="1">
      <alignment horizontal="center"/>
    </xf>
    <xf numFmtId="180" fontId="4" fillId="0" borderId="0" xfId="0" applyNumberFormat="1" applyFont="1"/>
    <xf numFmtId="0" fontId="2" fillId="0" borderId="29" xfId="0" applyFont="1" applyBorder="1"/>
    <xf numFmtId="1" fontId="7" fillId="0" borderId="30" xfId="0" applyNumberFormat="1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4" fontId="7" fillId="0" borderId="30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 vertical="top" wrapText="1"/>
    </xf>
    <xf numFmtId="4" fontId="7" fillId="0" borderId="0" xfId="0" applyNumberFormat="1" applyFont="1"/>
    <xf numFmtId="49" fontId="5" fillId="0" borderId="31" xfId="0" applyNumberFormat="1" applyFont="1" applyBorder="1" applyAlignment="1">
      <alignment horizontal="left" vertical="top" wrapText="1"/>
    </xf>
    <xf numFmtId="2" fontId="4" fillId="0" borderId="28" xfId="0" applyNumberFormat="1" applyFont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1" fontId="5" fillId="0" borderId="4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left" vertical="top" wrapText="1"/>
    </xf>
    <xf numFmtId="43" fontId="5" fillId="0" borderId="4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4" fillId="0" borderId="0" xfId="0" applyFont="1" applyFill="1" applyAlignment="1">
      <alignment vertical="top" wrapText="1"/>
    </xf>
    <xf numFmtId="49" fontId="5" fillId="0" borderId="32" xfId="0" applyNumberFormat="1" applyFont="1" applyBorder="1" applyAlignment="1">
      <alignment horizontal="left" vertical="top" wrapText="1"/>
    </xf>
    <xf numFmtId="0" fontId="6" fillId="0" borderId="6" xfId="0" applyFont="1" applyBorder="1"/>
    <xf numFmtId="0" fontId="4" fillId="0" borderId="27" xfId="0" applyFont="1" applyBorder="1" applyAlignment="1">
      <alignment horizontal="center" wrapText="1"/>
    </xf>
    <xf numFmtId="0" fontId="5" fillId="0" borderId="33" xfId="0" applyFont="1" applyBorder="1"/>
    <xf numFmtId="0" fontId="5" fillId="0" borderId="34" xfId="0" applyFont="1" applyBorder="1"/>
    <xf numFmtId="0" fontId="5" fillId="0" borderId="35" xfId="0" applyFont="1" applyBorder="1"/>
    <xf numFmtId="0" fontId="6" fillId="0" borderId="0" xfId="0" applyFont="1" applyAlignment="1">
      <alignment wrapText="1"/>
    </xf>
    <xf numFmtId="0" fontId="4" fillId="0" borderId="26" xfId="0" applyFont="1" applyBorder="1" applyAlignment="1">
      <alignment horizontal="center" wrapText="1"/>
    </xf>
    <xf numFmtId="49" fontId="5" fillId="0" borderId="10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/>
    </xf>
    <xf numFmtId="49" fontId="5" fillId="0" borderId="11" xfId="0" applyNumberFormat="1" applyFont="1" applyBorder="1" applyAlignment="1">
      <alignment horizontal="left" vertical="top" wrapText="1"/>
    </xf>
    <xf numFmtId="49" fontId="5" fillId="0" borderId="10" xfId="0" applyNumberFormat="1" applyFont="1" applyBorder="1" applyAlignment="1">
      <alignment horizontal="left" vertical="top" wrapText="1"/>
    </xf>
    <xf numFmtId="49" fontId="5" fillId="0" borderId="17" xfId="0" applyNumberFormat="1" applyFont="1" applyBorder="1" applyAlignment="1">
      <alignment horizontal="left" vertical="top" wrapText="1"/>
    </xf>
    <xf numFmtId="49" fontId="5" fillId="0" borderId="13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5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3" xfId="0" applyFont="1" applyBorder="1" applyAlignment="1">
      <alignment wrapText="1"/>
    </xf>
    <xf numFmtId="0" fontId="4" fillId="0" borderId="26" xfId="0" applyFont="1" applyFill="1" applyBorder="1" applyAlignment="1">
      <alignment horizontal="center" wrapText="1"/>
    </xf>
    <xf numFmtId="0" fontId="2" fillId="0" borderId="8" xfId="0" applyFont="1" applyFill="1" applyBorder="1" applyAlignment="1"/>
    <xf numFmtId="0" fontId="7" fillId="0" borderId="4" xfId="0" applyFont="1" applyBorder="1"/>
    <xf numFmtId="0" fontId="7" fillId="0" borderId="8" xfId="0" applyFont="1" applyBorder="1" applyAlignment="1">
      <alignment horizontal="center"/>
    </xf>
    <xf numFmtId="0" fontId="7" fillId="0" borderId="25" xfId="0" applyFont="1" applyBorder="1"/>
    <xf numFmtId="49" fontId="5" fillId="0" borderId="13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top" wrapText="1"/>
    </xf>
    <xf numFmtId="181" fontId="10" fillId="0" borderId="0" xfId="0" applyNumberFormat="1" applyFont="1" applyAlignment="1">
      <alignment horizontal="center" vertical="center" wrapText="1"/>
    </xf>
    <xf numFmtId="181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right" vertical="top" wrapText="1"/>
    </xf>
    <xf numFmtId="0" fontId="7" fillId="0" borderId="0" xfId="0" applyFont="1" applyAlignment="1">
      <alignment horizontal="right" wrapText="1"/>
    </xf>
    <xf numFmtId="0" fontId="9" fillId="0" borderId="8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workbookViewId="0">
      <selection activeCell="A1" sqref="A1"/>
    </sheetView>
  </sheetViews>
  <sheetFormatPr defaultColWidth="14.4444444444444" defaultRowHeight="15" customHeight="1"/>
  <cols>
    <col min="1" max="2" width="9.11111111111111" customWidth="1"/>
    <col min="3" max="4" width="5.11111111111111" customWidth="1"/>
    <col min="5" max="6" width="9.11111111111111" customWidth="1"/>
    <col min="7" max="7" width="3.88888888888889" customWidth="1"/>
    <col min="8" max="8" width="5.33333333333333" customWidth="1"/>
    <col min="9" max="12" width="9.11111111111111" customWidth="1"/>
  </cols>
  <sheetData>
    <row r="1" ht="15.6" spans="1:12">
      <c r="A1" s="129"/>
      <c r="B1" s="129"/>
      <c r="C1" s="129"/>
      <c r="D1" s="129"/>
      <c r="E1" s="129"/>
      <c r="F1" s="129"/>
      <c r="G1" s="130"/>
      <c r="H1" s="130"/>
      <c r="I1" s="130"/>
      <c r="J1" s="130"/>
      <c r="K1" s="130"/>
      <c r="L1" s="130"/>
    </row>
    <row r="2" ht="14.25" customHeight="1" spans="1:12">
      <c r="A2" s="131"/>
      <c r="B2" s="131"/>
      <c r="C2" s="131"/>
      <c r="D2" s="131"/>
      <c r="E2" s="131"/>
      <c r="F2" s="131"/>
      <c r="G2" s="132"/>
      <c r="H2" s="133"/>
      <c r="I2" s="133"/>
      <c r="J2" s="133"/>
      <c r="K2" s="132"/>
      <c r="L2" s="132"/>
    </row>
    <row r="3" ht="14.25" customHeight="1" spans="1:12">
      <c r="A3" s="131" t="s">
        <v>0</v>
      </c>
    </row>
    <row r="4" ht="14.25" customHeight="1" spans="1:12">
      <c r="A4" s="134"/>
      <c r="B4" s="134"/>
      <c r="C4" s="134"/>
      <c r="D4" s="134"/>
      <c r="E4" s="135" t="s">
        <v>1</v>
      </c>
      <c r="J4" s="136"/>
      <c r="K4" s="136"/>
      <c r="L4" s="136"/>
    </row>
    <row r="5" ht="14.25" customHeight="1" spans="1:12">
      <c r="A5" s="129" t="s">
        <v>2</v>
      </c>
    </row>
    <row r="6" ht="14.25" customHeight="1" spans="1:12">
      <c r="A6" s="134" t="s">
        <v>3</v>
      </c>
    </row>
    <row r="7" ht="14.25" customHeight="1" spans="1:12">
      <c r="A7" s="129" t="s">
        <v>4</v>
      </c>
    </row>
    <row r="8" ht="14.25" customHeight="1" spans="1:12">
      <c r="A8" s="131" t="s">
        <v>5</v>
      </c>
    </row>
    <row r="9" ht="14.25" customHeight="1" spans="1:12">
      <c r="A9" s="134" t="s">
        <v>6</v>
      </c>
    </row>
    <row r="10" ht="14.25" customHeight="1" spans="1:12">
      <c r="A10" s="129" t="s">
        <v>2</v>
      </c>
    </row>
    <row r="11" ht="14.25" customHeight="1" spans="1:12">
      <c r="A11" s="137"/>
      <c r="B11" s="137"/>
      <c r="C11" s="137"/>
      <c r="D11" s="138"/>
      <c r="E11" s="139"/>
      <c r="F11" s="140"/>
      <c r="G11" s="139"/>
      <c r="H11" s="131"/>
      <c r="I11" s="141"/>
      <c r="J11" s="142"/>
      <c r="K11" s="142"/>
      <c r="L11" s="137"/>
    </row>
    <row r="12" ht="14.25" customHeight="1" spans="1:12">
      <c r="A12" s="137"/>
      <c r="B12" s="137"/>
      <c r="C12" s="137"/>
      <c r="D12" s="138"/>
      <c r="E12" s="139"/>
      <c r="F12" s="140"/>
      <c r="G12" s="139"/>
      <c r="H12" s="131"/>
      <c r="I12" s="141"/>
      <c r="J12" s="142"/>
      <c r="K12" s="142"/>
      <c r="L12" s="137"/>
    </row>
    <row r="13" ht="14.25" customHeight="1" spans="1:12">
      <c r="A13" s="143" t="s">
        <v>7</v>
      </c>
    </row>
    <row r="14" ht="14.25" customHeight="1" spans="1:12">
      <c r="A14" s="131"/>
      <c r="B14" s="131"/>
      <c r="C14" s="131"/>
      <c r="D14" s="141" t="s">
        <v>8</v>
      </c>
      <c r="G14" s="131" t="s">
        <v>9</v>
      </c>
      <c r="H14" s="144">
        <v>20</v>
      </c>
      <c r="J14" s="131"/>
      <c r="K14" s="131"/>
      <c r="L14" s="131"/>
    </row>
    <row r="15" ht="14.25" customHeight="1" spans="1:12">
      <c r="A15" s="131"/>
      <c r="B15" s="131"/>
      <c r="C15" s="131"/>
      <c r="D15" s="141" t="s">
        <v>10</v>
      </c>
      <c r="G15" s="131" t="s">
        <v>9</v>
      </c>
      <c r="H15" s="144">
        <v>150</v>
      </c>
      <c r="J15" s="131"/>
      <c r="K15" s="131"/>
      <c r="L15" s="131"/>
    </row>
    <row r="16" ht="14.25" customHeight="1" spans="1:12">
      <c r="A16" s="131"/>
      <c r="B16" s="131"/>
      <c r="C16" s="131"/>
      <c r="D16" s="141" t="s">
        <v>11</v>
      </c>
      <c r="G16" s="131" t="s">
        <v>9</v>
      </c>
      <c r="H16" s="144">
        <v>8.5</v>
      </c>
      <c r="J16" s="131"/>
      <c r="K16" s="131"/>
      <c r="L16" s="131"/>
    </row>
    <row r="17" ht="14.25" customHeight="1" spans="1:12">
      <c r="A17" s="131"/>
      <c r="B17" s="131"/>
      <c r="C17" s="131"/>
      <c r="D17" s="141" t="s">
        <v>12</v>
      </c>
      <c r="G17" s="131" t="s">
        <v>9</v>
      </c>
      <c r="H17" s="144" t="s">
        <v>13</v>
      </c>
      <c r="J17" s="131"/>
      <c r="K17" s="131"/>
      <c r="L17" s="131"/>
    </row>
    <row r="18" ht="14.25" customHeight="1" spans="1:12">
      <c r="A18" s="131"/>
      <c r="B18" s="131"/>
      <c r="C18" s="131"/>
      <c r="D18" s="141"/>
      <c r="E18" s="141"/>
      <c r="F18" s="141"/>
      <c r="G18" s="131"/>
      <c r="H18" s="144"/>
      <c r="I18" s="144"/>
      <c r="J18" s="131"/>
      <c r="K18" s="131"/>
      <c r="L18" s="131"/>
    </row>
    <row r="19" ht="14.25" customHeight="1" spans="1:12">
      <c r="A19" s="131"/>
      <c r="B19" s="131"/>
      <c r="C19" s="131"/>
      <c r="D19" s="141" t="s">
        <v>14</v>
      </c>
      <c r="G19" s="131" t="s">
        <v>9</v>
      </c>
      <c r="H19" s="144">
        <v>2.5</v>
      </c>
      <c r="J19" s="131"/>
      <c r="K19" s="131"/>
      <c r="L19" s="131"/>
    </row>
    <row r="20" ht="14.25" customHeight="1" spans="1:12">
      <c r="A20" s="131"/>
      <c r="B20" s="131"/>
      <c r="C20" s="131"/>
      <c r="D20" s="141" t="s">
        <v>15</v>
      </c>
      <c r="G20" s="131" t="s">
        <v>9</v>
      </c>
      <c r="H20" s="144">
        <v>0.5</v>
      </c>
      <c r="J20" s="131"/>
      <c r="K20" s="131"/>
      <c r="L20" s="131"/>
    </row>
    <row r="21" ht="14.25" customHeight="1" spans="1:12">
      <c r="A21" s="131"/>
      <c r="B21" s="131"/>
      <c r="C21" s="131"/>
      <c r="D21" s="141" t="s">
        <v>16</v>
      </c>
      <c r="G21" s="131" t="s">
        <v>9</v>
      </c>
      <c r="H21" s="144">
        <v>20</v>
      </c>
      <c r="J21" s="131"/>
      <c r="K21" s="131"/>
      <c r="L21" s="131"/>
    </row>
    <row r="22" ht="14.25" customHeight="1" spans="1:12">
      <c r="A22" s="145"/>
      <c r="B22" s="145"/>
      <c r="C22" s="145"/>
      <c r="D22" s="141" t="s">
        <v>17</v>
      </c>
      <c r="G22" s="131" t="s">
        <v>9</v>
      </c>
      <c r="H22" s="144">
        <v>12</v>
      </c>
      <c r="J22" s="145"/>
      <c r="K22" s="145"/>
      <c r="L22" s="145"/>
    </row>
    <row r="23" ht="14.25" customHeight="1" spans="1:12">
      <c r="A23" s="145"/>
      <c r="B23" s="145"/>
      <c r="C23" s="145"/>
      <c r="D23" s="141" t="s">
        <v>18</v>
      </c>
      <c r="G23" s="131" t="s">
        <v>9</v>
      </c>
      <c r="H23" s="144">
        <v>7</v>
      </c>
      <c r="J23" s="145"/>
      <c r="K23" s="145"/>
      <c r="L23" s="145"/>
    </row>
    <row r="24" ht="14.25" customHeight="1" spans="1:12">
      <c r="A24" s="145"/>
      <c r="B24" s="145"/>
      <c r="C24" s="145"/>
      <c r="D24" s="146" t="s">
        <v>19</v>
      </c>
      <c r="G24" s="131" t="s">
        <v>9</v>
      </c>
      <c r="H24" s="144">
        <v>115</v>
      </c>
      <c r="J24" s="145"/>
      <c r="K24" s="145"/>
      <c r="L24" s="145"/>
    </row>
    <row r="25" ht="14.25" customHeight="1" spans="1:12">
      <c r="A25" s="131"/>
      <c r="B25" s="131"/>
      <c r="C25" s="131"/>
      <c r="D25" s="141" t="s">
        <v>20</v>
      </c>
      <c r="G25" s="131" t="s">
        <v>9</v>
      </c>
      <c r="H25" s="144" t="s">
        <v>21</v>
      </c>
      <c r="J25" s="131"/>
      <c r="K25" s="131"/>
      <c r="L25" s="131"/>
    </row>
    <row r="26" ht="14.25" customHeight="1" spans="1:12">
      <c r="A26" s="131"/>
      <c r="B26" s="131"/>
      <c r="C26" s="131"/>
      <c r="D26" s="141" t="s">
        <v>22</v>
      </c>
      <c r="G26" s="131" t="s">
        <v>9</v>
      </c>
      <c r="H26" s="144" t="s">
        <v>23</v>
      </c>
      <c r="J26" s="131"/>
      <c r="K26" s="131"/>
      <c r="L26" s="131"/>
    </row>
    <row r="27" ht="14.25" customHeight="1" spans="1:12">
      <c r="A27" s="131"/>
      <c r="B27" s="131"/>
      <c r="C27" s="131"/>
      <c r="D27" s="141" t="s">
        <v>24</v>
      </c>
      <c r="G27" s="131" t="s">
        <v>9</v>
      </c>
      <c r="H27" s="144" t="s">
        <v>25</v>
      </c>
      <c r="J27" s="131"/>
      <c r="K27" s="131"/>
      <c r="L27" s="131"/>
    </row>
    <row r="28" ht="14.25" customHeight="1" spans="1:12">
      <c r="A28" s="145"/>
      <c r="B28" s="145"/>
      <c r="C28" s="145"/>
      <c r="D28" s="141" t="s">
        <v>26</v>
      </c>
      <c r="G28" s="131" t="s">
        <v>9</v>
      </c>
      <c r="H28" s="144">
        <v>1</v>
      </c>
      <c r="J28" s="145"/>
      <c r="K28" s="145"/>
      <c r="L28" s="145"/>
    </row>
    <row r="29" ht="14.25" customHeight="1" spans="1:12">
      <c r="A29" s="145"/>
      <c r="B29" s="145"/>
      <c r="C29" s="145"/>
      <c r="D29" s="141" t="s">
        <v>27</v>
      </c>
      <c r="G29" s="131" t="s">
        <v>9</v>
      </c>
      <c r="H29" s="144" t="s">
        <v>28</v>
      </c>
      <c r="J29" s="145"/>
      <c r="K29" s="145"/>
      <c r="L29" s="145"/>
    </row>
    <row r="30" ht="14.25" customHeight="1" spans="1:12">
      <c r="A30" s="145"/>
      <c r="B30" s="145"/>
      <c r="C30" s="145"/>
      <c r="D30" s="147" t="s">
        <v>29</v>
      </c>
      <c r="G30" s="131" t="s">
        <v>9</v>
      </c>
      <c r="H30" s="144">
        <v>1</v>
      </c>
      <c r="J30" s="145"/>
      <c r="K30" s="145"/>
      <c r="L30" s="145"/>
    </row>
    <row r="31" ht="14.25" customHeight="1" spans="1:12">
      <c r="A31" s="145"/>
      <c r="B31" s="145"/>
      <c r="C31" s="145"/>
      <c r="D31" s="145"/>
      <c r="E31" s="141"/>
      <c r="G31" s="145"/>
      <c r="H31" s="145"/>
      <c r="I31" s="145"/>
      <c r="J31" s="145"/>
      <c r="K31" s="145"/>
      <c r="L31" s="145"/>
    </row>
    <row r="32" ht="14.25" customHeight="1" spans="1:12">
      <c r="A32" s="47"/>
    </row>
    <row r="33" ht="14.25" customHeight="1" spans="1:12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</row>
    <row r="34" ht="14.25" customHeight="1" spans="1:12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</row>
    <row r="35" ht="14.25" customHeight="1" spans="1:12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</row>
    <row r="36" ht="15.6" spans="1:12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</row>
    <row r="37" ht="15.6" spans="1:12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</row>
    <row r="38" ht="15.6" spans="1:12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</row>
    <row r="39" ht="15.6" spans="1:12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</row>
    <row r="40" ht="15.6" spans="1:12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</row>
    <row r="41" ht="15.6" spans="1:12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</row>
    <row r="42" ht="15.6" spans="1:12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</row>
    <row r="43" ht="15.6" spans="1:12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</row>
    <row r="44" ht="15.6" spans="1:12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</row>
    <row r="45" ht="15.6" spans="1:12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</row>
    <row r="46" ht="15.6" spans="1:12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</row>
    <row r="47" ht="15.6" spans="1:12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</row>
    <row r="48" ht="15.6" spans="1:12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</row>
    <row r="49" ht="15.6" spans="1:12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</row>
    <row r="50" ht="15.6" spans="1:12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</row>
    <row r="51" ht="15.6" spans="1:12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</row>
    <row r="52" ht="15.6" spans="1:12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</row>
    <row r="53" ht="15.6" spans="1:12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</row>
    <row r="54" ht="15.6" spans="1:12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</row>
    <row r="55" ht="15.6" spans="1:12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</row>
    <row r="56" ht="15.6" spans="1:12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</row>
    <row r="57" ht="15.6" spans="1:12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</row>
    <row r="58" ht="15.6" spans="1:12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</row>
    <row r="59" ht="15.6" spans="1:12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</row>
    <row r="60" ht="15.6" spans="1:12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</row>
    <row r="61" ht="15.6" spans="1:12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ht="15.6" spans="1:12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ht="15.6" spans="1:12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</row>
    <row r="64" ht="15.6" spans="1:12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ht="15.6" spans="1:12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ht="15.6" spans="1:12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</row>
    <row r="67" ht="15.6" spans="1:12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</row>
    <row r="68" ht="15.6" spans="1:12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</row>
    <row r="69" ht="15.6" spans="1:12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ht="15.6" spans="1:12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ht="15.6" spans="1:12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ht="15.6" spans="1:12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ht="15.6" spans="1:12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ht="15.6" spans="1:12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ht="15.6" spans="1:12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ht="15.6" spans="1:12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ht="15.6" spans="1:12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</row>
    <row r="78" ht="15.6" spans="1:12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</row>
    <row r="79" ht="15.6" spans="1:12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</row>
    <row r="80" ht="15.6" spans="1:12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</row>
    <row r="81" ht="15.6" spans="1:12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</row>
    <row r="82" ht="15.6" spans="1:12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</row>
    <row r="83" ht="15.6" spans="1:12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</row>
    <row r="84" ht="15.6" spans="1:12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</row>
    <row r="85" ht="15.6" spans="1:12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</row>
    <row r="86" ht="15.6" spans="1:12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</row>
    <row r="87" ht="15.6" spans="1:12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</row>
    <row r="88" ht="15.6" spans="1:12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</row>
    <row r="89" ht="15.6" spans="1:12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</row>
    <row r="90" ht="15.6" spans="1:12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</row>
    <row r="91" ht="15.6" spans="1:12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</row>
    <row r="92" ht="15.6" spans="1:12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</row>
    <row r="93" ht="15.6" spans="1:12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</row>
    <row r="94" ht="15.6" spans="1:12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</row>
    <row r="95" ht="15.6" spans="1:12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</row>
    <row r="96" ht="15.6" spans="1:12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</row>
    <row r="97" ht="15.6" spans="1:12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</row>
    <row r="98" ht="15.6" spans="1:12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</row>
    <row r="99" ht="15.6" spans="1:12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</row>
    <row r="100" ht="15.6" spans="1:12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</row>
  </sheetData>
  <mergeCells count="43">
    <mergeCell ref="A3:L3"/>
    <mergeCell ref="E4:I4"/>
    <mergeCell ref="A5:L5"/>
    <mergeCell ref="A6:L6"/>
    <mergeCell ref="A7:L7"/>
    <mergeCell ref="A8:L8"/>
    <mergeCell ref="A9:L9"/>
    <mergeCell ref="A10:L10"/>
    <mergeCell ref="A13:L13"/>
    <mergeCell ref="D14:F14"/>
    <mergeCell ref="H14:I14"/>
    <mergeCell ref="D15:F15"/>
    <mergeCell ref="H15:I15"/>
    <mergeCell ref="D16:F16"/>
    <mergeCell ref="H16:I16"/>
    <mergeCell ref="D17:F17"/>
    <mergeCell ref="H17:I17"/>
    <mergeCell ref="D19:F19"/>
    <mergeCell ref="H19:I19"/>
    <mergeCell ref="D20:F20"/>
    <mergeCell ref="H20:I20"/>
    <mergeCell ref="D21:F21"/>
    <mergeCell ref="H21:I21"/>
    <mergeCell ref="D22:F22"/>
    <mergeCell ref="H22:I22"/>
    <mergeCell ref="D23:F23"/>
    <mergeCell ref="H23:I23"/>
    <mergeCell ref="D24:F24"/>
    <mergeCell ref="H24:I24"/>
    <mergeCell ref="D25:F25"/>
    <mergeCell ref="H25:I25"/>
    <mergeCell ref="D26:F26"/>
    <mergeCell ref="H26:I26"/>
    <mergeCell ref="D27:F27"/>
    <mergeCell ref="H27:I27"/>
    <mergeCell ref="D28:F28"/>
    <mergeCell ref="H28:I28"/>
    <mergeCell ref="D29:F29"/>
    <mergeCell ref="H29:I29"/>
    <mergeCell ref="D30:F30"/>
    <mergeCell ref="H30:I30"/>
    <mergeCell ref="E31:F31"/>
    <mergeCell ref="A32:L32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"/>
  <sheetViews>
    <sheetView zoomScale="85" zoomScaleNormal="85" workbookViewId="0">
      <selection activeCell="E6" sqref="E6:E7"/>
    </sheetView>
  </sheetViews>
  <sheetFormatPr defaultColWidth="14.4444444444444" defaultRowHeight="15" customHeight="1"/>
  <cols>
    <col min="1" max="2" width="7.66666666666667" customWidth="1"/>
    <col min="3" max="3" width="18.1111111111111" customWidth="1"/>
    <col min="4" max="4" width="9.66666666666667" customWidth="1"/>
    <col min="5" max="5" width="11.5" customWidth="1"/>
    <col min="6" max="7" width="8.33333333333333" customWidth="1"/>
    <col min="8" max="8" width="14.6666666666667" customWidth="1"/>
    <col min="9" max="9" width="18.5555555555556" customWidth="1"/>
    <col min="10" max="10" width="5.66666666666667" customWidth="1"/>
    <col min="11" max="11" width="8.66666666666667" customWidth="1"/>
    <col min="12" max="12" width="11.6666666666667" customWidth="1"/>
    <col min="13" max="14" width="9.11111111111111" customWidth="1"/>
    <col min="15" max="15" width="13.1111111111111" customWidth="1"/>
    <col min="16" max="17" width="9.11111111111111" customWidth="1"/>
  </cols>
  <sheetData>
    <row r="1" ht="14.25" customHeight="1" spans="1:21">
      <c r="A1" s="1" t="s">
        <v>30</v>
      </c>
      <c r="B1" s="2"/>
      <c r="C1" s="3"/>
      <c r="D1" s="4" t="s">
        <v>31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  <c r="P1" s="13"/>
      <c r="Q1" s="13"/>
    </row>
    <row r="2" ht="14.25" customHeight="1" spans="1:21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7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ht="14.25" customHeight="1" spans="1:21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7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ht="14.25" customHeight="1" spans="1:21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7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ht="14.25" customHeight="1" spans="1:21">
      <c r="A5" s="18"/>
      <c r="B5" s="19"/>
      <c r="C5" s="20"/>
      <c r="D5" s="21" t="s">
        <v>39</v>
      </c>
      <c r="E5" s="22">
        <v>1</v>
      </c>
      <c r="F5" s="23" t="s">
        <v>40</v>
      </c>
      <c r="G5" s="24" t="s">
        <v>41</v>
      </c>
      <c r="H5" s="25"/>
      <c r="I5" s="26"/>
      <c r="J5" s="7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ht="13.5" customHeight="1" spans="1:21">
      <c r="A6" s="28" t="s">
        <v>42</v>
      </c>
      <c r="B6" s="27" t="s">
        <v>43</v>
      </c>
      <c r="C6" s="111" t="s">
        <v>44</v>
      </c>
      <c r="D6" s="27" t="s">
        <v>45</v>
      </c>
      <c r="E6" s="27" t="s">
        <v>46</v>
      </c>
      <c r="F6" s="111"/>
      <c r="G6" s="111"/>
      <c r="H6" s="27" t="s">
        <v>47</v>
      </c>
      <c r="I6" s="27" t="s">
        <v>48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ht="13.5" customHeight="1" spans="1:21">
      <c r="A7" s="10"/>
      <c r="B7" s="30"/>
      <c r="C7" s="11"/>
      <c r="D7" s="30"/>
      <c r="E7" s="30"/>
      <c r="F7" s="11"/>
      <c r="G7" s="11"/>
      <c r="H7" s="30"/>
      <c r="I7" s="3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ht="14.25" customHeight="1" spans="1:21">
      <c r="A8" s="98">
        <v>34</v>
      </c>
      <c r="B8" s="115" t="s">
        <v>49</v>
      </c>
      <c r="C8" s="99" t="s">
        <v>50</v>
      </c>
      <c r="D8" s="99" t="s">
        <v>51</v>
      </c>
      <c r="E8" s="114"/>
      <c r="F8" s="114"/>
      <c r="G8" s="99"/>
      <c r="H8" s="101" t="s">
        <v>52</v>
      </c>
      <c r="I8" s="92">
        <v>544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ht="14.25" customHeight="1" spans="1:21">
      <c r="A9" s="98">
        <v>34</v>
      </c>
      <c r="B9" s="115" t="s">
        <v>53</v>
      </c>
      <c r="C9" s="99" t="s">
        <v>50</v>
      </c>
      <c r="D9" s="99" t="s">
        <v>51</v>
      </c>
      <c r="E9" s="114"/>
      <c r="F9" s="114"/>
      <c r="G9" s="99"/>
      <c r="H9" s="101" t="s">
        <v>54</v>
      </c>
      <c r="I9" s="92">
        <v>549.4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ht="14.25" customHeight="1" spans="1:21">
      <c r="A10" s="98">
        <v>29</v>
      </c>
      <c r="B10" s="115" t="s">
        <v>55</v>
      </c>
      <c r="C10" s="99" t="s">
        <v>50</v>
      </c>
      <c r="D10" s="99" t="s">
        <v>51</v>
      </c>
      <c r="E10" s="114"/>
      <c r="F10" s="114"/>
      <c r="G10" s="99"/>
      <c r="H10" s="101" t="s">
        <v>56</v>
      </c>
      <c r="I10" s="92">
        <v>480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ht="14.25" customHeight="1" spans="1:21">
      <c r="A11" s="98"/>
      <c r="B11" s="115"/>
      <c r="C11" s="99"/>
      <c r="D11" s="99"/>
      <c r="E11" s="114"/>
      <c r="F11" s="114"/>
      <c r="G11" s="99"/>
      <c r="H11" s="101"/>
      <c r="I11" s="9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ht="14.25" customHeight="1" spans="1:21">
      <c r="A12" s="98"/>
      <c r="B12" s="115"/>
      <c r="C12" s="99"/>
      <c r="D12" s="99"/>
      <c r="E12" s="114"/>
      <c r="F12" s="114"/>
      <c r="G12" s="99"/>
      <c r="H12" s="101"/>
      <c r="I12" s="9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ht="14.25" customHeight="1" spans="1:21">
      <c r="A13" s="98">
        <v>4</v>
      </c>
      <c r="B13" s="115" t="s">
        <v>57</v>
      </c>
      <c r="C13" s="99" t="s">
        <v>58</v>
      </c>
      <c r="D13" s="99" t="s">
        <v>59</v>
      </c>
      <c r="E13" s="114"/>
      <c r="F13" s="114"/>
      <c r="G13" s="99"/>
      <c r="H13" s="101" t="s">
        <v>60</v>
      </c>
      <c r="I13" s="92">
        <v>148.6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ht="14.25" customHeight="1" spans="1:21">
      <c r="A14" s="98">
        <v>10</v>
      </c>
      <c r="B14" s="115" t="s">
        <v>61</v>
      </c>
      <c r="C14" s="99" t="s">
        <v>58</v>
      </c>
      <c r="D14" s="99" t="s">
        <v>59</v>
      </c>
      <c r="E14" s="114"/>
      <c r="F14" s="114"/>
      <c r="G14" s="99"/>
      <c r="H14" s="101" t="s">
        <v>62</v>
      </c>
      <c r="I14" s="92">
        <v>372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ht="14.25" customHeight="1" spans="1:21">
      <c r="A15" s="98"/>
      <c r="B15" s="115"/>
      <c r="C15" s="99"/>
      <c r="D15" s="99"/>
      <c r="E15" s="114"/>
      <c r="F15" s="114"/>
      <c r="G15" s="99"/>
      <c r="H15" s="101"/>
      <c r="I15" s="9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ht="14.25" customHeight="1" spans="1:21">
      <c r="A16" s="98">
        <v>4</v>
      </c>
      <c r="B16" s="115" t="s">
        <v>63</v>
      </c>
      <c r="C16" s="99" t="s">
        <v>64</v>
      </c>
      <c r="D16" s="99" t="s">
        <v>51</v>
      </c>
      <c r="E16" s="114"/>
      <c r="F16" s="114"/>
      <c r="G16" s="99"/>
      <c r="H16" s="101" t="s">
        <v>65</v>
      </c>
      <c r="I16" s="92">
        <v>74.5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14.25" customHeight="1" spans="1:21">
      <c r="A17" s="98"/>
      <c r="B17" s="69"/>
      <c r="C17" s="70"/>
      <c r="D17" s="69"/>
      <c r="E17" s="116"/>
      <c r="F17" s="116"/>
      <c r="G17" s="69"/>
      <c r="H17" s="74"/>
      <c r="I17" s="75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14.25" customHeight="1" spans="1:21">
      <c r="A18" s="76"/>
      <c r="B18" s="76"/>
      <c r="C18" s="77"/>
      <c r="D18" s="78"/>
      <c r="E18" s="79"/>
      <c r="F18" s="117"/>
      <c r="G18" s="117"/>
      <c r="H18" s="122" t="s">
        <v>66</v>
      </c>
      <c r="I18" s="95">
        <f>SUM(I8:I17)</f>
        <v>2168.5</v>
      </c>
      <c r="J18" s="87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13.5" customHeight="1" spans="1:21">
      <c r="A19" s="96"/>
      <c r="B19" s="96"/>
      <c r="C19" s="97" t="s">
        <v>67</v>
      </c>
      <c r="D19" s="96"/>
      <c r="E19" s="119"/>
      <c r="F19" s="96" t="s">
        <v>68</v>
      </c>
      <c r="G19" s="96"/>
      <c r="H19" s="25"/>
      <c r="I19" s="26"/>
      <c r="J19" s="25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13.5" customHeight="1" spans="1:21">
      <c r="A20" s="13"/>
      <c r="B20" s="13"/>
      <c r="C20" s="13"/>
      <c r="D20" s="59"/>
      <c r="E20" s="85"/>
      <c r="F20" s="52"/>
      <c r="G20" s="53"/>
      <c r="H20" s="53"/>
      <c r="I20" s="54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13.5" customHeight="1" spans="1:21">
      <c r="A21" s="13"/>
      <c r="B21" s="13"/>
      <c r="C21" s="13"/>
      <c r="D21" s="59"/>
      <c r="E21" s="85"/>
      <c r="F21" s="102" t="s">
        <v>69</v>
      </c>
      <c r="I21" s="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13.5" customHeight="1" spans="1:21">
      <c r="A22" s="13"/>
      <c r="B22" s="13"/>
      <c r="C22" s="13"/>
      <c r="D22" s="59"/>
      <c r="E22" s="85"/>
      <c r="F22" s="57" t="s">
        <v>70</v>
      </c>
      <c r="G22" s="11"/>
      <c r="H22" s="11"/>
      <c r="I22" s="58"/>
      <c r="J22" s="13"/>
      <c r="K22" s="13"/>
      <c r="L22" s="13"/>
      <c r="M22" s="13"/>
      <c r="N22" s="13"/>
      <c r="O22" s="13"/>
      <c r="P22" s="13"/>
      <c r="Q22" s="13"/>
    </row>
    <row r="23" ht="12.75" customHeight="1" spans="1:21">
      <c r="A23" s="13"/>
      <c r="B23" s="13"/>
      <c r="C23" s="13"/>
      <c r="D23" s="5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ht="12.75" customHeight="1" spans="1:21">
      <c r="A24" s="13"/>
      <c r="B24" s="13"/>
      <c r="C24" s="13"/>
      <c r="D24" s="5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ht="12.75" customHeight="1" spans="1:21">
      <c r="A25" s="13"/>
      <c r="B25" s="13"/>
      <c r="C25" s="13"/>
      <c r="D25" s="5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ht="12.75" customHeight="1" spans="1:21">
      <c r="A26" s="13"/>
      <c r="B26" s="13"/>
      <c r="C26" s="13"/>
      <c r="D26" s="5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ht="12.75" customHeight="1" spans="1:21">
      <c r="A27" s="13"/>
      <c r="B27" s="13"/>
      <c r="C27" s="13"/>
      <c r="D27" s="5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ht="12.75" customHeight="1" spans="1:21">
      <c r="A28" s="13"/>
      <c r="B28" s="13"/>
      <c r="C28" s="13"/>
      <c r="D28" s="5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ht="12.75" customHeight="1" spans="1:21">
      <c r="A29" s="13"/>
      <c r="B29" s="13"/>
      <c r="C29" s="13"/>
      <c r="D29" s="5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ht="12.75" customHeight="1" spans="1:21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ht="12.75" customHeight="1" spans="1:21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ht="12.75" customHeight="1" spans="1:21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ht="12.75" customHeight="1" spans="1:17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ht="12.75" customHeight="1" spans="1:17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ht="12.75" customHeight="1" spans="1:17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ht="12.75" customHeight="1" spans="1:17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ht="12.75" customHeight="1" spans="1:17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ht="12.75" customHeight="1" spans="1:17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ht="12.75" customHeight="1" spans="1:17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ht="12.75" customHeight="1" spans="1:17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ht="12.75" customHeight="1" spans="1:17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ht="12.75" customHeight="1" spans="1:17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ht="12.75" customHeight="1" spans="1:17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ht="12.75" customHeight="1" spans="1:17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ht="12.75" customHeight="1" spans="1:17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ht="12.75" customHeight="1" spans="1:17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ht="12.75" customHeight="1" spans="1:17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ht="12.75" customHeight="1" spans="1:17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ht="12.75" customHeight="1" spans="1:17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ht="12.75" customHeight="1" spans="1:17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2.75" customHeight="1" spans="1:17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ht="12.75" customHeight="1" spans="1:17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2.75" customHeight="1" spans="1:17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ht="12.75" customHeight="1" spans="1:17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2.75" customHeight="1" spans="1:17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ht="12.75" customHeight="1" spans="1:17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2.75" customHeight="1" spans="1:17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ht="12.75" customHeight="1" spans="1:17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2.75" customHeight="1" spans="1:17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ht="12.75" customHeight="1" spans="1:17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2.75" customHeight="1" spans="1:17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ht="12.75" customHeight="1" spans="1:17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2.75" customHeight="1" spans="1:17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ht="12.75" customHeight="1" spans="1:17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2.75" customHeight="1" spans="1:17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ht="12.75" customHeight="1" spans="1:17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2.75" customHeight="1" spans="1:17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ht="12.75" customHeight="1" spans="1:17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2.75" customHeight="1" spans="1:17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ht="12.75" customHeight="1" spans="1:17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2.75" customHeight="1" spans="1:17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ht="12.75" customHeight="1" spans="1:17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ht="12.75" customHeight="1" spans="1:17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ht="12.75" customHeight="1" spans="1:17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2.75" customHeight="1" spans="1:17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ht="12.75" customHeight="1" spans="1:17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2.75" customHeight="1" spans="1:17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ht="12.75" customHeight="1" spans="1:17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2.75" customHeight="1" spans="1:17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ht="12.75" customHeight="1" spans="1:17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2.75" customHeight="1" spans="1:17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ht="12.75" customHeight="1" spans="1:17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2.75" customHeight="1" spans="1:17">
      <c r="A83" s="13"/>
      <c r="B83" s="13"/>
      <c r="C83" s="13"/>
      <c r="D83" s="5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ht="12.75" customHeight="1" spans="1:17">
      <c r="A84" s="13"/>
      <c r="B84" s="13"/>
      <c r="C84" s="13"/>
      <c r="D84" s="5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2.75" customHeight="1" spans="1:17">
      <c r="A85" s="13"/>
      <c r="B85" s="13"/>
      <c r="C85" s="13"/>
      <c r="D85" s="5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ht="12.75" customHeight="1" spans="1:17">
      <c r="A86" s="13"/>
      <c r="B86" s="13"/>
      <c r="C86" s="13"/>
      <c r="D86" s="5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2.75" customHeight="1" spans="1:17">
      <c r="A87" s="13"/>
      <c r="B87" s="13"/>
      <c r="C87" s="13"/>
      <c r="D87" s="5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ht="12.75" customHeight="1" spans="1:17">
      <c r="A88" s="13"/>
      <c r="B88" s="13"/>
      <c r="C88" s="13"/>
      <c r="D88" s="5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2.75" customHeight="1" spans="1:17">
      <c r="A89" s="13"/>
      <c r="B89" s="13"/>
      <c r="C89" s="13"/>
      <c r="D89" s="5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ht="12.75" customHeight="1" spans="1:17">
      <c r="A90" s="13"/>
      <c r="B90" s="13"/>
      <c r="C90" s="13"/>
      <c r="D90" s="5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ht="12.75" customHeight="1" spans="1:17">
      <c r="A91" s="13"/>
      <c r="B91" s="13"/>
      <c r="C91" s="13"/>
      <c r="D91" s="5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ht="12.75" customHeight="1" spans="1:17">
      <c r="A92" s="13"/>
      <c r="B92" s="13"/>
      <c r="C92" s="13"/>
      <c r="D92" s="5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ht="12.75" customHeight="1" spans="1:17">
      <c r="A93" s="13"/>
      <c r="B93" s="13"/>
      <c r="C93" s="13"/>
      <c r="D93" s="5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ht="12.75" customHeight="1" spans="1:17">
      <c r="A94" s="13"/>
      <c r="B94" s="13"/>
      <c r="C94" s="13"/>
      <c r="D94" s="5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ht="12.75" customHeight="1" spans="1:17">
      <c r="A95" s="13"/>
      <c r="B95" s="13"/>
      <c r="C95" s="13"/>
      <c r="D95" s="5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ht="12.75" customHeight="1" spans="1:17">
      <c r="A96" s="13"/>
      <c r="B96" s="13"/>
      <c r="C96" s="13"/>
      <c r="D96" s="5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ht="12.75" customHeight="1" spans="1:17">
      <c r="A97" s="13"/>
      <c r="B97" s="13"/>
      <c r="C97" s="13"/>
      <c r="D97" s="5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ht="12.75" customHeight="1" spans="1:17">
      <c r="A98" s="13"/>
      <c r="B98" s="13"/>
      <c r="C98" s="13"/>
      <c r="D98" s="5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ht="12.75" customHeight="1" spans="1:17">
      <c r="A99" s="13"/>
      <c r="B99" s="13"/>
      <c r="C99" s="13"/>
      <c r="D99" s="5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ht="12.75" customHeight="1" spans="1:17">
      <c r="A100" s="13"/>
      <c r="B100" s="13"/>
      <c r="C100" s="13"/>
      <c r="D100" s="5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</sheetData>
  <mergeCells count="17">
    <mergeCell ref="D3:E3"/>
    <mergeCell ref="F3:I3"/>
    <mergeCell ref="D4:E4"/>
    <mergeCell ref="F4:I4"/>
    <mergeCell ref="F21:I21"/>
    <mergeCell ref="F22:I2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:C5"/>
    <mergeCell ref="D1:G2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"/>
  <sheetViews>
    <sheetView zoomScale="85" zoomScaleNormal="85" workbookViewId="0">
      <selection activeCell="E6" sqref="E6:E10"/>
    </sheetView>
  </sheetViews>
  <sheetFormatPr defaultColWidth="14.4444444444444" defaultRowHeight="15" customHeight="1"/>
  <cols>
    <col min="1" max="2" width="7.66666666666667" customWidth="1"/>
    <col min="3" max="3" width="27.6666666666667" customWidth="1"/>
    <col min="4" max="4" width="9.66666666666667" customWidth="1"/>
    <col min="5" max="7" width="8.33333333333333" customWidth="1"/>
    <col min="8" max="8" width="14.6666666666667" customWidth="1"/>
    <col min="9" max="9" width="11.6666666666667" customWidth="1"/>
    <col min="10" max="10" width="5.66666666666667" customWidth="1"/>
    <col min="11" max="11" width="8.66666666666667" customWidth="1"/>
    <col min="12" max="12" width="11.6666666666667" customWidth="1"/>
    <col min="13" max="13" width="9.11111111111111" customWidth="1"/>
    <col min="14" max="14" width="12.8888888888889" customWidth="1"/>
    <col min="15" max="15" width="9.11111111111111" customWidth="1"/>
  </cols>
  <sheetData>
    <row r="1" ht="14.25" customHeight="1" spans="1:18">
      <c r="A1" s="1" t="s">
        <v>30</v>
      </c>
      <c r="B1" s="2"/>
      <c r="C1" s="3"/>
      <c r="D1" s="4" t="s">
        <v>71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</row>
    <row r="2" ht="14.25" customHeight="1" spans="1:18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7"/>
      <c r="K2" s="13"/>
      <c r="L2" s="13"/>
      <c r="M2" s="13"/>
      <c r="N2" s="13"/>
      <c r="O2" s="13"/>
      <c r="P2" s="13"/>
      <c r="Q2" s="13"/>
      <c r="R2" s="13"/>
    </row>
    <row r="3" ht="14.25" customHeight="1" spans="1:18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7"/>
      <c r="K3" s="13"/>
      <c r="L3" s="13"/>
      <c r="M3" s="13"/>
      <c r="N3" s="13"/>
      <c r="O3" s="13"/>
      <c r="P3" s="13"/>
      <c r="Q3" s="13"/>
      <c r="R3" s="13"/>
    </row>
    <row r="4" ht="14.25" customHeight="1" spans="1:18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7"/>
      <c r="K4" s="13"/>
      <c r="L4" s="13"/>
      <c r="M4" s="13"/>
      <c r="N4" s="13"/>
      <c r="O4" s="13"/>
      <c r="P4" s="13"/>
      <c r="Q4" s="13"/>
      <c r="R4" s="13"/>
    </row>
    <row r="5" ht="14.25" customHeight="1" spans="1:18">
      <c r="A5" s="18"/>
      <c r="B5" s="19"/>
      <c r="C5" s="20"/>
      <c r="D5" s="21" t="s">
        <v>39</v>
      </c>
      <c r="E5" s="22">
        <v>2</v>
      </c>
      <c r="F5" s="23" t="s">
        <v>40</v>
      </c>
      <c r="G5" s="24" t="s">
        <v>41</v>
      </c>
      <c r="H5" s="25"/>
      <c r="I5" s="26"/>
      <c r="J5" s="7"/>
      <c r="K5" s="13"/>
      <c r="L5" s="13"/>
      <c r="M5" s="13"/>
      <c r="N5" s="13"/>
      <c r="O5" s="13"/>
      <c r="P5" s="13"/>
      <c r="Q5" s="13"/>
      <c r="R5" s="13"/>
    </row>
    <row r="6" ht="13.5" customHeight="1" spans="1:18">
      <c r="A6" s="28" t="s">
        <v>42</v>
      </c>
      <c r="B6" s="27" t="s">
        <v>43</v>
      </c>
      <c r="C6" s="111" t="s">
        <v>44</v>
      </c>
      <c r="D6" s="27" t="s">
        <v>45</v>
      </c>
      <c r="E6" s="27" t="s">
        <v>46</v>
      </c>
      <c r="F6" s="123"/>
      <c r="G6" s="123"/>
      <c r="H6" s="27" t="s">
        <v>47</v>
      </c>
      <c r="I6" s="27" t="s">
        <v>48</v>
      </c>
      <c r="J6" s="13"/>
      <c r="K6" s="13"/>
      <c r="L6" s="13"/>
      <c r="M6" s="13"/>
      <c r="N6" s="13"/>
      <c r="O6" s="13"/>
      <c r="P6" s="13"/>
      <c r="Q6" s="13"/>
      <c r="R6" s="13"/>
    </row>
    <row r="7" ht="13.5" customHeight="1" spans="1:18">
      <c r="A7" s="10"/>
      <c r="B7" s="30"/>
      <c r="C7" s="11"/>
      <c r="D7" s="30"/>
      <c r="E7" s="30"/>
      <c r="F7" s="124"/>
      <c r="G7" s="124"/>
      <c r="H7" s="30"/>
      <c r="I7" s="30"/>
      <c r="J7" s="13"/>
      <c r="K7" s="13"/>
      <c r="L7" s="13"/>
      <c r="M7" s="13"/>
      <c r="N7" s="13"/>
      <c r="O7" s="13"/>
      <c r="P7" s="13"/>
      <c r="Q7" s="13"/>
      <c r="R7" s="13"/>
    </row>
    <row r="8" ht="14.25" customHeight="1" spans="1:18">
      <c r="A8" s="98">
        <v>64</v>
      </c>
      <c r="B8" s="113" t="s">
        <v>72</v>
      </c>
      <c r="C8" s="113" t="s">
        <v>73</v>
      </c>
      <c r="D8" s="125" t="s">
        <v>74</v>
      </c>
      <c r="E8" s="125" t="s">
        <v>75</v>
      </c>
      <c r="F8" s="125"/>
      <c r="G8" s="125"/>
      <c r="H8" s="101" t="s">
        <v>52</v>
      </c>
      <c r="I8" s="92">
        <v>1248.6</v>
      </c>
      <c r="J8" s="13"/>
      <c r="K8" s="13"/>
      <c r="L8" s="13"/>
      <c r="M8" s="13"/>
      <c r="N8" s="13"/>
      <c r="O8" s="13"/>
      <c r="P8" s="13"/>
      <c r="Q8" s="13"/>
      <c r="R8" s="13"/>
    </row>
    <row r="9" ht="14.25" customHeight="1" spans="1:18">
      <c r="A9" s="98">
        <v>24</v>
      </c>
      <c r="B9" s="126" t="s">
        <v>76</v>
      </c>
      <c r="C9" s="113" t="s">
        <v>77</v>
      </c>
      <c r="D9" s="127" t="s">
        <v>51</v>
      </c>
      <c r="E9" s="125" t="s">
        <v>75</v>
      </c>
      <c r="F9" s="125"/>
      <c r="G9" s="125"/>
      <c r="H9" s="101" t="s">
        <v>78</v>
      </c>
      <c r="I9" s="92">
        <v>357.1</v>
      </c>
      <c r="J9" s="13"/>
      <c r="K9" s="13"/>
      <c r="L9" s="13"/>
      <c r="M9" s="13"/>
      <c r="N9" s="13"/>
      <c r="O9" s="13"/>
      <c r="P9" s="13"/>
      <c r="Q9" s="13"/>
      <c r="R9" s="13"/>
    </row>
    <row r="10" ht="14.25" customHeight="1" spans="1:18">
      <c r="A10" s="98">
        <v>8</v>
      </c>
      <c r="B10" s="98" t="s">
        <v>79</v>
      </c>
      <c r="C10" s="113" t="s">
        <v>77</v>
      </c>
      <c r="D10" s="127" t="s">
        <v>51</v>
      </c>
      <c r="E10" s="125" t="s">
        <v>75</v>
      </c>
      <c r="F10" s="125"/>
      <c r="G10" s="125"/>
      <c r="H10" s="101" t="s">
        <v>80</v>
      </c>
      <c r="I10" s="92">
        <v>44.6</v>
      </c>
      <c r="J10" s="13"/>
      <c r="K10" s="13"/>
      <c r="L10" s="13"/>
      <c r="M10" s="13"/>
      <c r="N10" s="13"/>
      <c r="O10" s="13"/>
      <c r="P10" s="13"/>
      <c r="Q10" s="13"/>
      <c r="R10" s="13"/>
    </row>
    <row r="11" ht="14.25" customHeight="1" spans="1:18">
      <c r="A11" s="13"/>
      <c r="B11" s="76"/>
      <c r="C11" s="77"/>
      <c r="D11" s="78"/>
      <c r="F11" s="128"/>
      <c r="G11" s="128"/>
      <c r="H11" s="101" t="s">
        <v>66</v>
      </c>
      <c r="I11" s="95">
        <f>SUM(I8:I10)</f>
        <v>1650.3</v>
      </c>
      <c r="J11" s="87"/>
      <c r="K11" s="13"/>
      <c r="L11" s="13"/>
      <c r="M11" s="13"/>
      <c r="N11" s="13"/>
      <c r="O11" s="13"/>
      <c r="P11" s="13"/>
      <c r="Q11" s="13"/>
      <c r="R11" s="13"/>
    </row>
    <row r="12" ht="13.5" customHeight="1" spans="1:18">
      <c r="A12" s="96"/>
      <c r="B12" s="96"/>
      <c r="C12" s="97" t="s">
        <v>81</v>
      </c>
      <c r="D12" s="96"/>
      <c r="E12" s="119"/>
      <c r="F12" s="96" t="s">
        <v>68</v>
      </c>
      <c r="G12" s="96"/>
      <c r="H12" s="25"/>
      <c r="I12" s="26"/>
      <c r="J12" s="25"/>
      <c r="K12" s="13"/>
      <c r="L12" s="13"/>
      <c r="M12" s="13"/>
      <c r="N12" s="13"/>
      <c r="O12" s="13"/>
      <c r="P12" s="13"/>
      <c r="Q12" s="13"/>
      <c r="R12" s="13"/>
    </row>
    <row r="13" ht="13.5" customHeight="1" spans="1:18">
      <c r="A13" s="13"/>
      <c r="B13" s="13"/>
      <c r="C13" s="13"/>
      <c r="D13" s="59"/>
      <c r="E13" s="85"/>
      <c r="F13" s="52"/>
      <c r="G13" s="53"/>
      <c r="H13" s="53"/>
      <c r="I13" s="54"/>
      <c r="J13" s="13"/>
      <c r="K13" s="13"/>
      <c r="L13" s="13"/>
      <c r="M13" s="13"/>
      <c r="N13" s="13"/>
      <c r="O13" s="13"/>
      <c r="P13" s="13"/>
      <c r="Q13" s="13"/>
      <c r="R13" s="13"/>
    </row>
    <row r="14" ht="13.5" customHeight="1" spans="1:18">
      <c r="A14" s="13"/>
      <c r="B14" s="13"/>
      <c r="C14" s="13"/>
      <c r="D14" s="59"/>
      <c r="E14" s="85"/>
      <c r="F14" s="102" t="s">
        <v>69</v>
      </c>
      <c r="I14" s="9"/>
      <c r="J14" s="13"/>
      <c r="K14" s="13"/>
      <c r="L14" s="13"/>
      <c r="M14" s="13"/>
      <c r="N14" s="13"/>
      <c r="O14" s="13"/>
      <c r="P14" s="13"/>
      <c r="Q14" s="13"/>
      <c r="R14" s="13"/>
    </row>
    <row r="15" ht="13.5" customHeight="1" spans="1:18">
      <c r="A15" s="13"/>
      <c r="B15" s="13"/>
      <c r="C15" s="13"/>
      <c r="D15" s="59"/>
      <c r="E15" s="85"/>
      <c r="F15" s="57" t="s">
        <v>70</v>
      </c>
      <c r="G15" s="11"/>
      <c r="H15" s="11"/>
      <c r="I15" s="58"/>
      <c r="J15" s="13"/>
      <c r="K15" s="13"/>
      <c r="L15" s="13"/>
      <c r="M15" s="13"/>
      <c r="N15" s="13"/>
      <c r="O15" s="13"/>
    </row>
    <row r="16" ht="12.75" customHeight="1" spans="1:18">
      <c r="A16" s="13"/>
      <c r="B16" s="13"/>
      <c r="C16" s="13"/>
      <c r="D16" s="59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2.75" customHeight="1" spans="1:15">
      <c r="A17" s="13"/>
      <c r="B17" s="13"/>
      <c r="C17" s="13"/>
      <c r="D17" s="59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2.75" customHeight="1" spans="1:15">
      <c r="A18" s="13"/>
      <c r="B18" s="13"/>
      <c r="C18" s="13"/>
      <c r="D18" s="5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2.75" customHeight="1" spans="1:15">
      <c r="A19" s="13"/>
      <c r="B19" s="13"/>
      <c r="C19" s="13"/>
      <c r="D19" s="5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2.75" customHeight="1" spans="1:15">
      <c r="A20" s="13"/>
      <c r="B20" s="13"/>
      <c r="C20" s="13"/>
      <c r="D20" s="5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2.75" customHeight="1" spans="1:15">
      <c r="A21" s="13"/>
      <c r="B21" s="13"/>
      <c r="C21" s="13"/>
      <c r="D21" s="5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2.75" customHeight="1" spans="1:15">
      <c r="A22" s="13"/>
      <c r="B22" s="13"/>
      <c r="C22" s="13"/>
      <c r="D22" s="5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2.75" customHeight="1" spans="1:15">
      <c r="A23" s="13"/>
      <c r="B23" s="13"/>
      <c r="C23" s="13"/>
      <c r="D23" s="5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2.75" customHeight="1" spans="1:15">
      <c r="A24" s="13"/>
      <c r="B24" s="13"/>
      <c r="C24" s="13"/>
      <c r="D24" s="5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2.75" customHeight="1" spans="1:15">
      <c r="A25" s="13"/>
      <c r="B25" s="13"/>
      <c r="C25" s="13"/>
      <c r="D25" s="5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2.75" customHeight="1" spans="1:15">
      <c r="A26" s="13"/>
      <c r="B26" s="13"/>
      <c r="C26" s="13"/>
      <c r="D26" s="5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2.75" customHeight="1" spans="1:15">
      <c r="A27" s="13"/>
      <c r="B27" s="13"/>
      <c r="C27" s="13"/>
      <c r="D27" s="5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2.75" customHeight="1" spans="1:15">
      <c r="A28" s="13"/>
      <c r="B28" s="13"/>
      <c r="C28" s="13"/>
      <c r="D28" s="5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2.75" customHeight="1" spans="1:15">
      <c r="A29" s="13"/>
      <c r="B29" s="13"/>
      <c r="C29" s="13"/>
      <c r="D29" s="5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2.75" customHeight="1" spans="1:15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2.75" customHeight="1" spans="1:15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2.75" customHeight="1" spans="1:15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2.75" customHeight="1" spans="1:15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2.75" customHeight="1" spans="1:15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2.75" customHeight="1" spans="1:15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2.75" customHeight="1" spans="1:15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2.75" customHeight="1" spans="1:15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2.75" customHeight="1" spans="1:15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2.75" customHeight="1" spans="1:15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2.75" customHeight="1" spans="1:15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2.75" customHeight="1" spans="1:15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2.75" customHeight="1" spans="1:15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2.75" customHeight="1" spans="1:15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 spans="1:15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2.75" customHeight="1" spans="1:15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2.75" customHeight="1" spans="1:15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2.75" customHeight="1" spans="1:15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2.75" customHeight="1" spans="1:15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2.75" customHeight="1" spans="1:15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 spans="1:15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2.75" customHeight="1" spans="1:15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2.75" customHeight="1" spans="1:15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2.75" customHeight="1" spans="1:15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2.75" customHeight="1" spans="1:15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2.75" customHeight="1" spans="1:15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 spans="1:15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 spans="1:15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 spans="1:15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 spans="1:15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 spans="1:15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 spans="1:15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 spans="1:15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 spans="1:15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 spans="1:15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 spans="1:15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 spans="1:15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 spans="1:15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 spans="1:15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 spans="1:15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 spans="1:15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 spans="1:15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 spans="1:15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 spans="1:15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 spans="1:15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 spans="1:15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 spans="1:15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 spans="1:15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 spans="1:15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 spans="1:15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 spans="1:15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 spans="1:15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 spans="1:15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2.75" customHeight="1" spans="1:15">
      <c r="A83" s="13"/>
      <c r="B83" s="13"/>
      <c r="C83" s="13"/>
      <c r="D83" s="5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2.75" customHeight="1" spans="1:15">
      <c r="A84" s="13"/>
      <c r="B84" s="13"/>
      <c r="C84" s="13"/>
      <c r="D84" s="5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2.75" customHeight="1" spans="1:15">
      <c r="A85" s="13"/>
      <c r="B85" s="13"/>
      <c r="C85" s="13"/>
      <c r="D85" s="5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2.75" customHeight="1" spans="1:15">
      <c r="A86" s="13"/>
      <c r="B86" s="13"/>
      <c r="C86" s="13"/>
      <c r="D86" s="5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2.75" customHeight="1" spans="1:15">
      <c r="A87" s="13"/>
      <c r="B87" s="13"/>
      <c r="C87" s="13"/>
      <c r="D87" s="5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2.75" customHeight="1" spans="1:15">
      <c r="A88" s="13"/>
      <c r="B88" s="13"/>
      <c r="C88" s="13"/>
      <c r="D88" s="5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2.75" customHeight="1" spans="1:15">
      <c r="A89" s="13"/>
      <c r="B89" s="13"/>
      <c r="C89" s="13"/>
      <c r="D89" s="5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2.75" customHeight="1" spans="1:15">
      <c r="A90" s="13"/>
      <c r="B90" s="13"/>
      <c r="C90" s="13"/>
      <c r="D90" s="5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2.75" customHeight="1" spans="1:15">
      <c r="A91" s="13"/>
      <c r="B91" s="13"/>
      <c r="C91" s="13"/>
      <c r="D91" s="5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2.75" customHeight="1" spans="1:15">
      <c r="A92" s="13"/>
      <c r="B92" s="13"/>
      <c r="C92" s="13"/>
      <c r="D92" s="5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2.75" customHeight="1" spans="1:15">
      <c r="A93" s="13"/>
      <c r="B93" s="13"/>
      <c r="C93" s="13"/>
      <c r="D93" s="5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2.75" customHeight="1" spans="1:15">
      <c r="A94" s="13"/>
      <c r="B94" s="13"/>
      <c r="C94" s="13"/>
      <c r="D94" s="5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ht="12.75" customHeight="1" spans="1:15">
      <c r="A95" s="13"/>
      <c r="B95" s="13"/>
      <c r="C95" s="13"/>
      <c r="D95" s="5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12.75" customHeight="1" spans="1:15">
      <c r="A96" s="13"/>
      <c r="B96" s="13"/>
      <c r="C96" s="13"/>
      <c r="D96" s="5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12.75" customHeight="1" spans="1:15">
      <c r="A97" s="13"/>
      <c r="B97" s="13"/>
      <c r="C97" s="13"/>
      <c r="D97" s="5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2.75" customHeight="1" spans="1:15">
      <c r="A98" s="13"/>
      <c r="B98" s="13"/>
      <c r="C98" s="13"/>
      <c r="D98" s="5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12.75" customHeight="1" spans="1:15">
      <c r="A99" s="13"/>
      <c r="B99" s="13"/>
      <c r="C99" s="13"/>
      <c r="D99" s="5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2.75" customHeight="1" spans="1:15">
      <c r="A100" s="13"/>
      <c r="B100" s="13"/>
      <c r="C100" s="13"/>
      <c r="D100" s="5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</sheetData>
  <mergeCells count="17">
    <mergeCell ref="D3:E3"/>
    <mergeCell ref="F3:I3"/>
    <mergeCell ref="D4:E4"/>
    <mergeCell ref="F4:I4"/>
    <mergeCell ref="F14:I14"/>
    <mergeCell ref="F15:I1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:C5"/>
    <mergeCell ref="D1:G2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zoomScale="70" zoomScaleNormal="70" workbookViewId="0">
      <selection activeCell="E22" sqref="E22"/>
    </sheetView>
  </sheetViews>
  <sheetFormatPr defaultColWidth="14.4444444444444" defaultRowHeight="15" customHeight="1"/>
  <cols>
    <col min="1" max="2" width="7.66666666666667" customWidth="1"/>
    <col min="3" max="3" width="27.6666666666667" customWidth="1"/>
    <col min="4" max="4" width="9.66666666666667" customWidth="1"/>
    <col min="5" max="7" width="8.33333333333333" customWidth="1"/>
    <col min="8" max="8" width="14.6666666666667" customWidth="1"/>
    <col min="9" max="9" width="11.6666666666667" customWidth="1"/>
    <col min="10" max="10" width="5.66666666666667" customWidth="1"/>
    <col min="11" max="11" width="8.66666666666667" customWidth="1"/>
    <col min="12" max="12" width="11.6666666666667" customWidth="1"/>
    <col min="13" max="15" width="9.11111111111111" customWidth="1"/>
  </cols>
  <sheetData>
    <row r="1" ht="14.25" customHeight="1" spans="1:15">
      <c r="A1" s="1" t="s">
        <v>30</v>
      </c>
      <c r="B1" s="2"/>
      <c r="C1" s="3"/>
      <c r="D1" s="4" t="s">
        <v>82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</row>
    <row r="2" ht="14.25" customHeight="1" spans="1:15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7"/>
      <c r="K2" s="7"/>
      <c r="M2" s="7"/>
      <c r="N2" s="7"/>
      <c r="O2" s="7"/>
    </row>
    <row r="3" ht="14.25" customHeight="1" spans="1:15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7"/>
    </row>
    <row r="4" ht="14.25" customHeight="1" spans="1:15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7"/>
    </row>
    <row r="5" ht="14.25" customHeight="1" spans="1:15">
      <c r="A5" s="18"/>
      <c r="B5" s="19"/>
      <c r="C5" s="20"/>
      <c r="D5" s="21" t="s">
        <v>39</v>
      </c>
      <c r="E5" s="22">
        <v>3</v>
      </c>
      <c r="F5" s="23" t="s">
        <v>40</v>
      </c>
      <c r="G5" s="24" t="s">
        <v>41</v>
      </c>
      <c r="H5" s="25"/>
      <c r="I5" s="26"/>
      <c r="J5" s="7"/>
    </row>
    <row r="6" ht="13.5" customHeight="1" spans="1:15">
      <c r="A6" s="28" t="s">
        <v>42</v>
      </c>
      <c r="B6" s="27" t="s">
        <v>43</v>
      </c>
      <c r="C6" s="111" t="s">
        <v>44</v>
      </c>
      <c r="D6" s="27" t="s">
        <v>45</v>
      </c>
      <c r="E6" s="27" t="s">
        <v>46</v>
      </c>
      <c r="F6" s="111"/>
      <c r="G6" s="111"/>
      <c r="H6" s="27" t="s">
        <v>47</v>
      </c>
      <c r="I6" s="27" t="s">
        <v>48</v>
      </c>
      <c r="J6" s="13"/>
    </row>
    <row r="7" ht="13.5" customHeight="1" spans="1:15">
      <c r="A7" s="120"/>
      <c r="B7" s="30"/>
      <c r="C7" s="11"/>
      <c r="D7" s="30"/>
      <c r="E7" s="30"/>
      <c r="F7" s="11"/>
      <c r="G7" s="11"/>
      <c r="H7" s="30"/>
      <c r="I7" s="30"/>
      <c r="J7" s="13"/>
    </row>
    <row r="8" ht="14.25" customHeight="1" spans="1:15">
      <c r="A8" s="98">
        <v>6</v>
      </c>
      <c r="B8" s="112" t="s">
        <v>83</v>
      </c>
      <c r="C8" s="101" t="s">
        <v>84</v>
      </c>
      <c r="D8" s="113" t="s">
        <v>85</v>
      </c>
      <c r="E8" s="121" t="s">
        <v>75</v>
      </c>
      <c r="F8" s="114"/>
      <c r="G8" s="115"/>
      <c r="H8" s="112" t="s">
        <v>86</v>
      </c>
      <c r="I8" s="112" t="s">
        <v>87</v>
      </c>
      <c r="J8" s="13"/>
    </row>
    <row r="9" ht="14.25" customHeight="1" spans="1:15">
      <c r="A9" s="98">
        <v>15</v>
      </c>
      <c r="B9" s="112" t="s">
        <v>88</v>
      </c>
      <c r="C9" s="101" t="s">
        <v>84</v>
      </c>
      <c r="D9" s="113" t="s">
        <v>85</v>
      </c>
      <c r="E9" s="121" t="s">
        <v>75</v>
      </c>
      <c r="F9" s="114"/>
      <c r="G9" s="115"/>
      <c r="H9" s="112" t="s">
        <v>89</v>
      </c>
      <c r="I9" s="112" t="s">
        <v>90</v>
      </c>
      <c r="J9" s="13"/>
    </row>
    <row r="10" ht="14.25" customHeight="1" spans="1:15">
      <c r="A10" s="98">
        <v>6</v>
      </c>
      <c r="B10" s="112" t="s">
        <v>91</v>
      </c>
      <c r="C10" s="101" t="s">
        <v>92</v>
      </c>
      <c r="D10" s="113" t="s">
        <v>51</v>
      </c>
      <c r="E10" s="121" t="s">
        <v>75</v>
      </c>
      <c r="F10" s="114"/>
      <c r="G10" s="115"/>
      <c r="H10" s="112" t="s">
        <v>93</v>
      </c>
      <c r="I10" s="112" t="s">
        <v>94</v>
      </c>
      <c r="J10" s="13"/>
    </row>
    <row r="11" ht="14.25" customHeight="1" spans="1:15">
      <c r="A11" s="98">
        <v>2</v>
      </c>
      <c r="B11" s="112" t="s">
        <v>91</v>
      </c>
      <c r="C11" s="101" t="s">
        <v>92</v>
      </c>
      <c r="D11" s="113" t="s">
        <v>51</v>
      </c>
      <c r="E11" s="121" t="s">
        <v>75</v>
      </c>
      <c r="F11" s="116"/>
      <c r="G11" s="69"/>
      <c r="H11" s="112" t="s">
        <v>95</v>
      </c>
      <c r="I11" s="112" t="s">
        <v>96</v>
      </c>
      <c r="J11" s="13"/>
    </row>
    <row r="12" ht="14.25" customHeight="1" spans="1:15">
      <c r="A12" s="13"/>
      <c r="B12" s="13"/>
      <c r="C12" s="13"/>
      <c r="D12" s="13"/>
      <c r="E12" s="79"/>
      <c r="F12" s="117"/>
      <c r="G12" s="117"/>
      <c r="H12" s="74"/>
      <c r="I12" s="75"/>
      <c r="J12" s="87"/>
    </row>
    <row r="13" ht="13.5" customHeight="1" spans="1:15">
      <c r="A13" s="13"/>
      <c r="B13" s="13"/>
      <c r="C13" s="13"/>
      <c r="D13" s="13"/>
      <c r="E13" s="119"/>
      <c r="F13" s="96" t="s">
        <v>68</v>
      </c>
      <c r="G13" s="96"/>
      <c r="H13" s="122" t="s">
        <v>66</v>
      </c>
      <c r="I13" s="95">
        <v>949.5</v>
      </c>
      <c r="J13" s="25"/>
    </row>
    <row r="14" ht="13.5" customHeight="1" spans="1:15">
      <c r="A14" s="13"/>
      <c r="B14" s="13"/>
      <c r="C14" s="13"/>
      <c r="D14" s="59"/>
      <c r="E14" s="85"/>
      <c r="F14" s="52"/>
      <c r="G14" s="53"/>
      <c r="H14" s="53"/>
      <c r="I14" s="54"/>
      <c r="J14" s="13"/>
    </row>
    <row r="15" ht="13.5" customHeight="1" spans="1:15">
      <c r="A15" s="13"/>
      <c r="B15" s="97"/>
      <c r="C15" s="97" t="s">
        <v>81</v>
      </c>
      <c r="D15" s="59"/>
      <c r="E15" s="85"/>
      <c r="F15" s="102" t="s">
        <v>69</v>
      </c>
      <c r="I15" s="9"/>
      <c r="J15" s="13"/>
    </row>
    <row r="16" ht="13.5" customHeight="1" spans="1:15">
      <c r="A16" s="13"/>
      <c r="B16" s="13"/>
      <c r="C16" s="13"/>
      <c r="D16" s="59"/>
      <c r="E16" s="85"/>
      <c r="F16" s="57" t="s">
        <v>70</v>
      </c>
      <c r="G16" s="11"/>
      <c r="H16" s="11"/>
      <c r="I16" s="58"/>
      <c r="J16" s="13"/>
    </row>
    <row r="17" ht="12.75" customHeight="1" spans="1:15">
      <c r="A17" s="13"/>
      <c r="B17" s="13"/>
      <c r="C17" s="13"/>
      <c r="D17" s="59"/>
      <c r="E17" s="13"/>
      <c r="F17" s="13"/>
      <c r="G17" s="13"/>
      <c r="H17" s="13"/>
      <c r="I17" s="13"/>
      <c r="J17" s="13"/>
    </row>
    <row r="18" ht="12.75" customHeight="1" spans="1:15">
      <c r="A18" s="13"/>
      <c r="B18" s="13"/>
      <c r="C18" s="13"/>
      <c r="D18" s="5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2.75" customHeight="1" spans="1:15">
      <c r="A19" s="13"/>
      <c r="B19" s="13"/>
      <c r="C19" s="13"/>
      <c r="D19" s="5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2.75" customHeight="1" spans="1:15">
      <c r="A20" s="13"/>
      <c r="B20" s="13"/>
      <c r="C20" s="13"/>
      <c r="D20" s="5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2.75" customHeight="1" spans="1:15">
      <c r="A21" s="13"/>
      <c r="B21" s="13"/>
      <c r="C21" s="13"/>
      <c r="D21" s="5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2.75" customHeight="1" spans="1:15">
      <c r="A22" s="13"/>
      <c r="B22" s="13"/>
      <c r="C22" s="13"/>
      <c r="D22" s="5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2.75" customHeight="1" spans="1:15">
      <c r="A23" s="13"/>
      <c r="B23" s="13"/>
      <c r="C23" s="13"/>
      <c r="D23" s="5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2.75" customHeight="1" spans="1:15">
      <c r="A24" s="13"/>
      <c r="B24" s="13"/>
      <c r="C24" s="13"/>
      <c r="D24" s="5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2.75" customHeight="1" spans="1:15">
      <c r="A25" s="13"/>
      <c r="B25" s="13"/>
      <c r="C25" s="13"/>
      <c r="D25" s="5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2.75" customHeight="1" spans="1:15">
      <c r="A26" s="13"/>
      <c r="B26" s="13"/>
      <c r="C26" s="13"/>
      <c r="D26" s="5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2.75" customHeight="1" spans="1:15">
      <c r="A27" s="13"/>
      <c r="B27" s="13"/>
      <c r="C27" s="13"/>
      <c r="D27" s="5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2.75" customHeight="1" spans="1:15">
      <c r="A28" s="13"/>
      <c r="B28" s="13"/>
      <c r="C28" s="13"/>
      <c r="D28" s="5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2.75" customHeight="1" spans="1:15">
      <c r="A29" s="13"/>
      <c r="B29" s="13"/>
      <c r="C29" s="13"/>
      <c r="D29" s="5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2.75" customHeight="1" spans="1:15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2.75" customHeight="1" spans="1:15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2.75" customHeight="1" spans="1:15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2.75" customHeight="1" spans="1:15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2.75" customHeight="1" spans="1:15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2.75" customHeight="1" spans="1:15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2.75" customHeight="1" spans="1:15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2.75" customHeight="1" spans="1:15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2.75" customHeight="1" spans="1:15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2.75" customHeight="1" spans="1:15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2.75" customHeight="1" spans="1:15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2.75" customHeight="1" spans="1:15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2.75" customHeight="1" spans="1:15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2.75" customHeight="1" spans="1:15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 spans="1:15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2.75" customHeight="1" spans="1:15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2.75" customHeight="1" spans="1:15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2.75" customHeight="1" spans="1:15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2.75" customHeight="1" spans="1:15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2.75" customHeight="1" spans="1:15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 spans="1:15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2.75" customHeight="1" spans="1:15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2.75" customHeight="1" spans="1:15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2.75" customHeight="1" spans="1:15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2.75" customHeight="1" spans="1:15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2.75" customHeight="1" spans="1:15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 spans="1:15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 spans="1:15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 spans="1:15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 spans="1:15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 spans="1:15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 spans="1:15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 spans="1:15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 spans="1:15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 spans="1:15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 spans="1:15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 spans="1:15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 spans="1:15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 spans="1:15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 spans="1:15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 spans="1:15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 spans="1:15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 spans="1:15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 spans="1:15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 spans="1:15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 spans="1:15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 spans="1:15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 spans="1:15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 spans="1:15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 spans="1:15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 spans="1:15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 spans="1:15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 spans="1:15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2.75" customHeight="1" spans="1:15">
      <c r="A83" s="13"/>
      <c r="B83" s="13"/>
      <c r="C83" s="13"/>
      <c r="D83" s="5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2.75" customHeight="1" spans="1:15">
      <c r="A84" s="13"/>
      <c r="B84" s="13"/>
      <c r="C84" s="13"/>
      <c r="D84" s="5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2.75" customHeight="1" spans="1:15">
      <c r="A85" s="13"/>
      <c r="B85" s="13"/>
      <c r="C85" s="13"/>
      <c r="D85" s="5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2.75" customHeight="1" spans="1:15">
      <c r="A86" s="13"/>
      <c r="B86" s="13"/>
      <c r="C86" s="13"/>
      <c r="D86" s="5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2.75" customHeight="1" spans="1:15">
      <c r="A87" s="13"/>
      <c r="B87" s="13"/>
      <c r="C87" s="13"/>
      <c r="D87" s="5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2.75" customHeight="1" spans="1:15">
      <c r="A88" s="13"/>
      <c r="B88" s="13"/>
      <c r="C88" s="13"/>
      <c r="D88" s="5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2.75" customHeight="1" spans="1:15">
      <c r="A89" s="13"/>
      <c r="B89" s="13"/>
      <c r="C89" s="13"/>
      <c r="D89" s="5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2.75" customHeight="1" spans="1:15">
      <c r="A90" s="13"/>
      <c r="B90" s="13"/>
      <c r="C90" s="13"/>
      <c r="D90" s="5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2.75" customHeight="1" spans="1:15">
      <c r="A91" s="13"/>
      <c r="B91" s="13"/>
      <c r="C91" s="13"/>
      <c r="D91" s="5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2.75" customHeight="1" spans="1:15">
      <c r="A92" s="13"/>
      <c r="B92" s="13"/>
      <c r="C92" s="13"/>
      <c r="D92" s="5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2.75" customHeight="1" spans="1:15">
      <c r="A93" s="13"/>
      <c r="B93" s="13"/>
      <c r="C93" s="13"/>
      <c r="D93" s="5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2.75" customHeight="1" spans="1:15">
      <c r="A94" s="13"/>
      <c r="B94" s="13"/>
      <c r="C94" s="13"/>
      <c r="D94" s="5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ht="12.75" customHeight="1" spans="1:15">
      <c r="A95" s="13"/>
      <c r="B95" s="13"/>
      <c r="C95" s="13"/>
      <c r="D95" s="5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12.75" customHeight="1" spans="1:15">
      <c r="A96" s="13"/>
      <c r="B96" s="13"/>
      <c r="C96" s="13"/>
      <c r="D96" s="5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12.75" customHeight="1" spans="1:15">
      <c r="A97" s="13"/>
      <c r="B97" s="13"/>
      <c r="C97" s="13"/>
      <c r="D97" s="5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2.75" customHeight="1" spans="1:15">
      <c r="A98" s="13"/>
      <c r="B98" s="13"/>
      <c r="C98" s="13"/>
      <c r="D98" s="5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12.75" customHeight="1" spans="1:15">
      <c r="A99" s="13"/>
      <c r="B99" s="13"/>
      <c r="C99" s="13"/>
      <c r="D99" s="5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2.75" customHeight="1" spans="1:15">
      <c r="A100" s="13"/>
      <c r="B100" s="13"/>
      <c r="C100" s="13"/>
      <c r="D100" s="5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</sheetData>
  <mergeCells count="17">
    <mergeCell ref="D3:E3"/>
    <mergeCell ref="F3:I3"/>
    <mergeCell ref="D4:E4"/>
    <mergeCell ref="F4:I4"/>
    <mergeCell ref="F15:I15"/>
    <mergeCell ref="F16:I1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:C5"/>
    <mergeCell ref="D1:G2"/>
  </mergeCell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3"/>
  <sheetViews>
    <sheetView zoomScale="70" zoomScaleNormal="70" workbookViewId="0">
      <selection activeCell="C25" sqref="C25"/>
    </sheetView>
  </sheetViews>
  <sheetFormatPr defaultColWidth="14.4444444444444" defaultRowHeight="15" customHeight="1"/>
  <cols>
    <col min="1" max="2" width="7.66666666666667" customWidth="1"/>
    <col min="3" max="3" width="27.6666666666667" customWidth="1"/>
    <col min="4" max="4" width="9.66666666666667" customWidth="1"/>
    <col min="5" max="5" width="12.8518518518519" customWidth="1"/>
    <col min="6" max="7" width="8.33333333333333" customWidth="1"/>
    <col min="8" max="8" width="14.6666666666667" customWidth="1"/>
    <col min="9" max="9" width="11.6666666666667" customWidth="1"/>
    <col min="10" max="10" width="5.66666666666667" customWidth="1"/>
    <col min="11" max="11" width="8.66666666666667" customWidth="1"/>
    <col min="12" max="12" width="11.6666666666667" customWidth="1"/>
    <col min="13" max="13" width="9.11111111111111" customWidth="1"/>
    <col min="14" max="14" width="11" customWidth="1"/>
    <col min="15" max="15" width="11.6666666666667" customWidth="1"/>
  </cols>
  <sheetData>
    <row r="1" ht="14.25" customHeight="1" spans="1:15">
      <c r="A1" s="1" t="s">
        <v>30</v>
      </c>
      <c r="B1" s="2"/>
      <c r="C1" s="3"/>
      <c r="D1" s="4" t="s">
        <v>97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</row>
    <row r="2" ht="14.25" customHeight="1" spans="1:15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7"/>
      <c r="K2" s="7"/>
      <c r="M2" s="7"/>
      <c r="N2" s="7"/>
      <c r="O2" s="7"/>
    </row>
    <row r="3" ht="14.25" customHeight="1" spans="1:15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7"/>
    </row>
    <row r="4" ht="14.25" customHeight="1" spans="1:15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110"/>
    </row>
    <row r="5" ht="14.25" customHeight="1" spans="1:15">
      <c r="A5" s="18"/>
      <c r="B5" s="19"/>
      <c r="C5" s="20"/>
      <c r="D5" s="21" t="s">
        <v>39</v>
      </c>
      <c r="E5" s="22" t="s">
        <v>98</v>
      </c>
      <c r="F5" s="23" t="s">
        <v>40</v>
      </c>
      <c r="G5" s="24" t="s">
        <v>41</v>
      </c>
      <c r="H5" s="25"/>
      <c r="I5" s="26"/>
      <c r="J5" s="110"/>
    </row>
    <row r="6" ht="13.5" customHeight="1" spans="1:15">
      <c r="A6" s="28" t="s">
        <v>42</v>
      </c>
      <c r="B6" s="27" t="s">
        <v>43</v>
      </c>
      <c r="C6" s="111" t="s">
        <v>44</v>
      </c>
      <c r="D6" s="27" t="s">
        <v>45</v>
      </c>
      <c r="E6" s="27" t="s">
        <v>46</v>
      </c>
      <c r="F6" s="111"/>
      <c r="G6" s="111"/>
      <c r="H6" s="27" t="s">
        <v>47</v>
      </c>
      <c r="I6" s="27" t="s">
        <v>48</v>
      </c>
      <c r="J6" s="110"/>
    </row>
    <row r="7" ht="13.5" customHeight="1" spans="1:15">
      <c r="A7" s="10"/>
      <c r="B7" s="30"/>
      <c r="C7" s="11"/>
      <c r="D7" s="30"/>
      <c r="E7" s="30"/>
      <c r="H7" s="30"/>
      <c r="I7" s="30"/>
      <c r="J7" s="110"/>
    </row>
    <row r="8" ht="14.25" customHeight="1" spans="1:15">
      <c r="A8" s="98">
        <v>4</v>
      </c>
      <c r="B8" s="112" t="s">
        <v>99</v>
      </c>
      <c r="C8" s="113" t="s">
        <v>100</v>
      </c>
      <c r="D8" s="113" t="s">
        <v>101</v>
      </c>
      <c r="E8" s="113" t="s">
        <v>102</v>
      </c>
      <c r="F8" s="114"/>
      <c r="G8" s="115"/>
      <c r="H8" s="112" t="s">
        <v>103</v>
      </c>
      <c r="I8" s="101" t="s">
        <v>104</v>
      </c>
      <c r="J8" s="110"/>
    </row>
    <row r="9" ht="14.25" customHeight="1" spans="1:15">
      <c r="A9" s="98">
        <v>2</v>
      </c>
      <c r="B9" s="112" t="s">
        <v>105</v>
      </c>
      <c r="C9" s="113" t="s">
        <v>100</v>
      </c>
      <c r="D9" s="113" t="s">
        <v>101</v>
      </c>
      <c r="E9" s="113" t="s">
        <v>102</v>
      </c>
      <c r="F9" s="114"/>
      <c r="G9" s="115"/>
      <c r="H9" s="112" t="s">
        <v>103</v>
      </c>
      <c r="I9" s="101" t="s">
        <v>106</v>
      </c>
      <c r="J9" s="110"/>
    </row>
    <row r="10" ht="14.25" customHeight="1" spans="1:15">
      <c r="A10" s="98">
        <v>2</v>
      </c>
      <c r="B10" s="112" t="s">
        <v>107</v>
      </c>
      <c r="C10" s="113" t="s">
        <v>100</v>
      </c>
      <c r="D10" s="113" t="s">
        <v>101</v>
      </c>
      <c r="E10" s="113" t="s">
        <v>102</v>
      </c>
      <c r="F10" s="114"/>
      <c r="G10" s="115"/>
      <c r="H10" s="112" t="s">
        <v>103</v>
      </c>
      <c r="I10" s="101" t="s">
        <v>108</v>
      </c>
      <c r="J10" s="110"/>
    </row>
    <row r="11" ht="14.25" customHeight="1" spans="1:15">
      <c r="A11" s="98">
        <v>2</v>
      </c>
      <c r="B11" s="112" t="s">
        <v>109</v>
      </c>
      <c r="C11" s="113" t="s">
        <v>100</v>
      </c>
      <c r="D11" s="113" t="s">
        <v>101</v>
      </c>
      <c r="E11" s="113" t="s">
        <v>102</v>
      </c>
      <c r="F11" s="114"/>
      <c r="G11" s="115"/>
      <c r="H11" s="112" t="s">
        <v>103</v>
      </c>
      <c r="I11" s="101" t="s">
        <v>110</v>
      </c>
      <c r="J11" s="110"/>
    </row>
    <row r="12" ht="14.25" customHeight="1" spans="1:15">
      <c r="A12" s="98">
        <v>2</v>
      </c>
      <c r="B12" s="112" t="s">
        <v>111</v>
      </c>
      <c r="C12" s="113" t="s">
        <v>100</v>
      </c>
      <c r="D12" s="113" t="s">
        <v>101</v>
      </c>
      <c r="E12" s="113" t="s">
        <v>102</v>
      </c>
      <c r="F12" s="114"/>
      <c r="G12" s="115"/>
      <c r="H12" s="112" t="s">
        <v>103</v>
      </c>
      <c r="I12" s="101" t="s">
        <v>112</v>
      </c>
      <c r="J12" s="110"/>
    </row>
    <row r="13" ht="14.25" customHeight="1" spans="1:15">
      <c r="A13" s="98">
        <v>2</v>
      </c>
      <c r="B13" s="112" t="s">
        <v>113</v>
      </c>
      <c r="C13" s="113" t="s">
        <v>100</v>
      </c>
      <c r="D13" s="113" t="s">
        <v>101</v>
      </c>
      <c r="E13" s="113" t="s">
        <v>102</v>
      </c>
      <c r="F13" s="114"/>
      <c r="G13" s="115"/>
      <c r="H13" s="112" t="s">
        <v>103</v>
      </c>
      <c r="I13" s="101" t="s">
        <v>114</v>
      </c>
      <c r="J13" s="110"/>
    </row>
    <row r="14" ht="14.25" customHeight="1" spans="1:15">
      <c r="A14" s="98">
        <v>94</v>
      </c>
      <c r="B14" s="112" t="s">
        <v>115</v>
      </c>
      <c r="C14" s="113" t="s">
        <v>116</v>
      </c>
      <c r="D14" s="113" t="s">
        <v>101</v>
      </c>
      <c r="E14" s="113" t="s">
        <v>102</v>
      </c>
      <c r="F14" s="114"/>
      <c r="G14" s="115"/>
      <c r="H14" s="101" t="s">
        <v>117</v>
      </c>
      <c r="I14" s="101" t="s">
        <v>118</v>
      </c>
      <c r="J14" s="13"/>
    </row>
    <row r="15" ht="14.25" customHeight="1" spans="1:15">
      <c r="A15" s="68"/>
      <c r="B15" s="69"/>
      <c r="C15" s="70"/>
      <c r="D15" s="69"/>
      <c r="E15" s="116"/>
      <c r="F15" s="116"/>
      <c r="G15" s="69"/>
      <c r="H15" s="74"/>
      <c r="I15" s="75"/>
      <c r="J15" s="13"/>
    </row>
    <row r="16" ht="14.25" customHeight="1" spans="1:15">
      <c r="A16" s="76"/>
      <c r="B16" s="76"/>
      <c r="C16" s="77"/>
      <c r="D16" s="78"/>
      <c r="E16" s="79"/>
      <c r="F16" s="117"/>
      <c r="G16" s="117"/>
      <c r="H16" s="101" t="s">
        <v>66</v>
      </c>
      <c r="I16" s="101">
        <v>6240.5</v>
      </c>
      <c r="J16" s="118"/>
    </row>
    <row r="17" ht="13.5" customHeight="1" spans="1:18">
      <c r="A17" s="96"/>
      <c r="B17" s="96"/>
      <c r="C17" s="25"/>
      <c r="D17" s="96"/>
      <c r="E17" s="119"/>
      <c r="F17" s="96" t="s">
        <v>68</v>
      </c>
      <c r="G17" s="96"/>
      <c r="H17" s="25"/>
      <c r="I17" s="26"/>
      <c r="J17" s="110"/>
    </row>
    <row r="18" ht="13.5" customHeight="1" spans="1:18">
      <c r="A18" s="13"/>
      <c r="B18" s="13"/>
      <c r="C18" s="13"/>
      <c r="D18" s="59"/>
      <c r="E18" s="85"/>
      <c r="F18" s="52"/>
      <c r="G18" s="53"/>
      <c r="H18" s="53"/>
      <c r="I18" s="54"/>
      <c r="J18" s="110"/>
    </row>
    <row r="19" ht="13.5" customHeight="1" spans="1:18">
      <c r="A19" s="13"/>
      <c r="B19" s="97" t="s">
        <v>67</v>
      </c>
      <c r="C19" s="97" t="s">
        <v>102</v>
      </c>
      <c r="D19" s="59"/>
      <c r="E19" s="85"/>
      <c r="F19" s="102" t="s">
        <v>69</v>
      </c>
      <c r="I19" s="9"/>
      <c r="J19" s="110"/>
    </row>
    <row r="20" ht="13.5" customHeight="1" spans="1:18">
      <c r="A20" s="13"/>
      <c r="B20" s="13"/>
      <c r="C20" s="13"/>
      <c r="D20" s="59"/>
      <c r="E20" s="85"/>
      <c r="F20" s="57" t="s">
        <v>70</v>
      </c>
      <c r="G20" s="11"/>
      <c r="H20" s="11"/>
      <c r="I20" s="58"/>
      <c r="J20" s="110"/>
    </row>
    <row r="21" ht="12.75" customHeight="1" spans="1:18">
      <c r="A21" s="13"/>
      <c r="B21" s="13"/>
      <c r="C21" s="13"/>
      <c r="D21" s="5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ht="12.75" customHeight="1" spans="1:18">
      <c r="A22" s="13"/>
      <c r="B22" s="13"/>
      <c r="C22" s="13"/>
      <c r="D22" s="5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ht="12.75" customHeight="1" spans="1:18">
      <c r="A23" s="13"/>
      <c r="B23" s="13"/>
      <c r="C23" s="13"/>
      <c r="D23" s="5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ht="12.75" customHeight="1" spans="1:18">
      <c r="A24" s="13"/>
      <c r="B24" s="13"/>
      <c r="C24" s="13"/>
      <c r="D24" s="5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ht="12.75" customHeight="1" spans="1:18">
      <c r="A25" s="13"/>
      <c r="B25" s="13"/>
      <c r="C25" s="13"/>
      <c r="D25" s="5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ht="12.75" customHeight="1" spans="1:18">
      <c r="A26" s="13"/>
      <c r="B26" s="13"/>
      <c r="C26" s="13"/>
      <c r="D26" s="5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ht="12.75" customHeight="1" spans="1:18">
      <c r="A27" s="13"/>
      <c r="B27" s="13"/>
      <c r="C27" s="13"/>
      <c r="D27" s="5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2.75" customHeight="1" spans="1:18">
      <c r="A28" s="13"/>
      <c r="B28" s="13"/>
      <c r="C28" s="13"/>
      <c r="D28" s="5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2.75" customHeight="1" spans="1:18">
      <c r="A29" s="13"/>
      <c r="B29" s="13"/>
      <c r="C29" s="13"/>
      <c r="D29" s="5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2.75" customHeight="1" spans="1:18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2.75" customHeight="1" spans="1:18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2.75" customHeight="1" spans="1:18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2.75" customHeight="1" spans="1:24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2.75" customHeight="1" spans="1:24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2.75" customHeight="1" spans="1:24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2.75" customHeight="1" spans="1:24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2.75" customHeight="1" spans="1:24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2.75" customHeight="1" spans="1:24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Q38" s="13"/>
      <c r="R38" s="13"/>
      <c r="S38" s="13"/>
      <c r="T38" s="13"/>
      <c r="U38" s="13"/>
      <c r="V38" s="13"/>
      <c r="W38" s="13"/>
      <c r="X38" s="13"/>
    </row>
    <row r="39" ht="12.75" customHeight="1" spans="1:24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Q39" s="13"/>
      <c r="R39" s="13"/>
      <c r="S39" s="13"/>
      <c r="T39" s="13"/>
      <c r="U39" s="13"/>
      <c r="V39" s="13"/>
      <c r="W39" s="13"/>
      <c r="X39" s="13"/>
    </row>
    <row r="40" ht="12.75" customHeight="1" spans="1:24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7"/>
      <c r="Q40" s="13"/>
      <c r="R40" s="13"/>
      <c r="S40" s="13"/>
      <c r="T40" s="13"/>
      <c r="U40" s="13"/>
      <c r="V40" s="13"/>
      <c r="W40" s="13"/>
      <c r="X40" s="13"/>
    </row>
    <row r="41" ht="12.75" customHeight="1" spans="1:24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10"/>
      <c r="Q41" s="13"/>
      <c r="R41" s="13"/>
      <c r="S41" s="13"/>
      <c r="T41" s="13"/>
      <c r="U41" s="13"/>
      <c r="V41" s="13"/>
      <c r="W41" s="13"/>
      <c r="X41" s="13"/>
    </row>
    <row r="42" ht="12.75" customHeight="1" spans="1:24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10"/>
      <c r="Q42" s="13"/>
      <c r="R42" s="13"/>
      <c r="S42" s="13"/>
      <c r="T42" s="13"/>
      <c r="U42" s="13"/>
      <c r="V42" s="13"/>
      <c r="W42" s="13"/>
      <c r="X42" s="13"/>
    </row>
    <row r="43" ht="12.75" customHeight="1" spans="1:24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10"/>
      <c r="Q43" s="13"/>
      <c r="R43" s="13"/>
      <c r="S43" s="13"/>
      <c r="T43" s="13"/>
      <c r="U43" s="13"/>
      <c r="V43" s="13"/>
      <c r="W43" s="13"/>
      <c r="X43" s="13"/>
    </row>
    <row r="44" ht="12.75" customHeight="1" spans="1:24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10"/>
      <c r="Q44" s="13"/>
      <c r="R44" s="13"/>
      <c r="S44" s="13"/>
      <c r="T44" s="13"/>
      <c r="U44" s="13"/>
      <c r="V44" s="13"/>
      <c r="W44" s="13"/>
      <c r="X44" s="13"/>
    </row>
    <row r="45" ht="12.75" customHeight="1" spans="1:24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10"/>
      <c r="Q45" s="13"/>
      <c r="R45" s="13"/>
      <c r="S45" s="13"/>
      <c r="T45" s="13"/>
      <c r="U45" s="13"/>
      <c r="V45" s="13"/>
      <c r="W45" s="13"/>
      <c r="X45" s="13"/>
    </row>
    <row r="46" ht="12.75" customHeight="1" spans="1:24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10"/>
      <c r="Q46" s="13"/>
      <c r="R46" s="13"/>
      <c r="S46" s="13"/>
      <c r="T46" s="13"/>
      <c r="U46" s="13"/>
      <c r="V46" s="13"/>
      <c r="W46" s="13"/>
      <c r="X46" s="13"/>
    </row>
    <row r="47" ht="12.75" customHeight="1" spans="1:24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10"/>
      <c r="Q47" s="13"/>
      <c r="R47" s="13"/>
      <c r="S47" s="13"/>
      <c r="T47" s="13"/>
      <c r="U47" s="13"/>
      <c r="V47" s="13"/>
      <c r="W47" s="13"/>
      <c r="X47" s="13"/>
    </row>
    <row r="48" ht="12.75" customHeight="1" spans="1:24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2.75" customHeight="1" spans="1:24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2.75" customHeight="1" spans="1:24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18"/>
      <c r="Q50" s="13"/>
      <c r="R50" s="13"/>
      <c r="S50" s="13"/>
      <c r="T50" s="13"/>
      <c r="U50" s="13"/>
      <c r="V50" s="13"/>
      <c r="W50" s="13"/>
      <c r="X50" s="13"/>
    </row>
    <row r="51" ht="12.75" customHeight="1" spans="1:24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10"/>
      <c r="Q51" s="13"/>
      <c r="R51" s="13"/>
      <c r="S51" s="13"/>
      <c r="T51" s="13"/>
      <c r="U51" s="13"/>
      <c r="V51" s="13"/>
      <c r="W51" s="13"/>
      <c r="X51" s="13"/>
    </row>
    <row r="52" ht="12.75" customHeight="1" spans="1:24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10"/>
      <c r="Q52" s="13"/>
      <c r="R52" s="13"/>
      <c r="S52" s="13"/>
      <c r="T52" s="13"/>
      <c r="U52" s="13"/>
      <c r="V52" s="13"/>
      <c r="W52" s="13"/>
      <c r="X52" s="13"/>
    </row>
    <row r="53" ht="12.75" customHeight="1" spans="1:24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10"/>
      <c r="Q53" s="13"/>
      <c r="R53" s="13"/>
      <c r="S53" s="13"/>
      <c r="T53" s="13"/>
      <c r="U53" s="13"/>
      <c r="V53" s="13"/>
      <c r="W53" s="13"/>
      <c r="X53" s="13"/>
    </row>
    <row r="54" ht="12.75" customHeight="1" spans="1:24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10"/>
      <c r="Q54" s="110"/>
      <c r="R54" s="13"/>
      <c r="S54" s="13"/>
      <c r="T54" s="13"/>
      <c r="U54" s="13"/>
      <c r="V54" s="13"/>
      <c r="W54" s="13"/>
    </row>
    <row r="55" ht="12.75" customHeight="1" spans="1:24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 spans="1:24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 spans="1:24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 spans="1:24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 spans="1:24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 spans="1:24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 spans="1:24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 spans="1:24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 spans="1:24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 spans="1:24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 spans="1:15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 spans="1:15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 spans="1:15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 spans="1:15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 spans="1:15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 spans="1:15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 spans="1:15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 spans="1:15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 spans="1:15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 spans="1:15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 spans="1:15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 spans="1:15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 spans="1:15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 spans="1:15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 spans="1:15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 spans="1:15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 spans="1:15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 spans="1:15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2.75" customHeight="1" spans="1:15">
      <c r="A83" s="13"/>
      <c r="B83" s="13"/>
      <c r="C83" s="13"/>
      <c r="D83" s="5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2.75" customHeight="1" spans="1:15">
      <c r="A84" s="13"/>
      <c r="B84" s="13"/>
      <c r="C84" s="13"/>
      <c r="D84" s="5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2.75" customHeight="1" spans="1:15">
      <c r="A85" s="13"/>
      <c r="B85" s="13"/>
      <c r="C85" s="13"/>
      <c r="D85" s="5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2.75" customHeight="1" spans="1:15">
      <c r="A86" s="13"/>
      <c r="B86" s="13"/>
      <c r="C86" s="13"/>
      <c r="D86" s="5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2.75" customHeight="1" spans="1:15">
      <c r="A87" s="13"/>
      <c r="B87" s="13"/>
      <c r="C87" s="13"/>
      <c r="D87" s="5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2.75" customHeight="1" spans="1:15">
      <c r="A88" s="13"/>
      <c r="B88" s="13"/>
      <c r="C88" s="13"/>
      <c r="D88" s="5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2.75" customHeight="1" spans="1:15">
      <c r="A89" s="13"/>
      <c r="B89" s="13"/>
      <c r="C89" s="13"/>
      <c r="D89" s="5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2.75" customHeight="1" spans="1:15">
      <c r="A90" s="13"/>
      <c r="B90" s="13"/>
      <c r="C90" s="13"/>
      <c r="D90" s="5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2.75" customHeight="1" spans="1:15">
      <c r="A91" s="13"/>
      <c r="B91" s="13"/>
      <c r="C91" s="13"/>
      <c r="D91" s="5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2.75" customHeight="1" spans="1:15">
      <c r="A92" s="13"/>
      <c r="B92" s="13"/>
      <c r="C92" s="13"/>
      <c r="D92" s="5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2.75" customHeight="1" spans="1:15">
      <c r="A93" s="13"/>
      <c r="B93" s="13"/>
      <c r="C93" s="13"/>
      <c r="D93" s="5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2.75" customHeight="1" spans="1:15">
      <c r="A94" s="13"/>
      <c r="B94" s="13"/>
      <c r="C94" s="13"/>
      <c r="D94" s="5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ht="12.75" customHeight="1" spans="1:15">
      <c r="A95" s="13"/>
      <c r="B95" s="13"/>
      <c r="C95" s="13"/>
      <c r="D95" s="5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12.75" customHeight="1" spans="1:15">
      <c r="A96" s="13"/>
      <c r="B96" s="13"/>
      <c r="C96" s="13"/>
      <c r="D96" s="5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12.75" customHeight="1" spans="1:15">
      <c r="A97" s="13"/>
      <c r="B97" s="13"/>
      <c r="C97" s="13"/>
      <c r="D97" s="5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2.75" customHeight="1" spans="1:15">
      <c r="A98" s="13"/>
      <c r="B98" s="13"/>
      <c r="C98" s="13"/>
      <c r="D98" s="5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12.75" customHeight="1" spans="1:15">
      <c r="A99" s="13"/>
      <c r="B99" s="13"/>
      <c r="C99" s="13"/>
      <c r="D99" s="5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2.75" customHeight="1" spans="1:15">
      <c r="A100" s="13"/>
      <c r="B100" s="13"/>
      <c r="C100" s="13"/>
      <c r="D100" s="5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ht="12.75" customHeight="1" spans="1:15">
      <c r="A101" s="13"/>
      <c r="B101" s="13"/>
      <c r="C101" s="13"/>
      <c r="D101" s="59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ht="12.75" customHeight="1" spans="1:15">
      <c r="A102" s="13"/>
      <c r="B102" s="13"/>
      <c r="C102" s="13"/>
      <c r="D102" s="59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ht="12.75" customHeight="1" spans="1:15">
      <c r="A103" s="13"/>
      <c r="B103" s="13"/>
      <c r="C103" s="13"/>
      <c r="D103" s="59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</sheetData>
  <mergeCells count="17">
    <mergeCell ref="D3:E3"/>
    <mergeCell ref="F3:I3"/>
    <mergeCell ref="D4:E4"/>
    <mergeCell ref="F4:I4"/>
    <mergeCell ref="F19:I19"/>
    <mergeCell ref="F20:I20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:C5"/>
    <mergeCell ref="D1:G2"/>
  </mergeCells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"/>
  <sheetViews>
    <sheetView tabSelected="1" zoomScale="70" zoomScaleNormal="70" workbookViewId="0">
      <selection activeCell="L11" sqref="L11"/>
    </sheetView>
  </sheetViews>
  <sheetFormatPr defaultColWidth="14.4444444444444" defaultRowHeight="15" customHeight="1"/>
  <cols>
    <col min="1" max="2" width="7.66666666666667" customWidth="1"/>
    <col min="3" max="3" width="27.6666666666667" customWidth="1"/>
    <col min="4" max="4" width="11.4444444444444" customWidth="1"/>
    <col min="5" max="7" width="8.33333333333333" customWidth="1"/>
    <col min="8" max="8" width="14.6666666666667" customWidth="1"/>
    <col min="9" max="9" width="11.6666666666667" customWidth="1"/>
    <col min="10" max="10" width="5.66666666666667" customWidth="1"/>
    <col min="11" max="11" width="8.66666666666667" customWidth="1"/>
    <col min="12" max="12" width="11.6666666666667" customWidth="1"/>
    <col min="13" max="15" width="9.11111111111111" customWidth="1"/>
  </cols>
  <sheetData>
    <row r="1" ht="14.25" customHeight="1" spans="1:21">
      <c r="A1" s="1" t="s">
        <v>30</v>
      </c>
      <c r="B1" s="2"/>
      <c r="C1" s="3"/>
      <c r="D1" s="4" t="s">
        <v>119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</row>
    <row r="2" ht="14.25" customHeight="1" spans="1:21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7"/>
      <c r="K2" s="7"/>
      <c r="L2" s="7"/>
      <c r="M2" s="7"/>
      <c r="N2" s="7"/>
      <c r="O2" s="7"/>
    </row>
    <row r="3" ht="14.25" customHeight="1" spans="1:21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</row>
    <row r="4" ht="14.25" customHeight="1" spans="1:21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</row>
    <row r="5" ht="14.25" customHeight="1" spans="1:21">
      <c r="A5" s="18"/>
      <c r="B5" s="19"/>
      <c r="C5" s="20"/>
      <c r="D5" s="21" t="s">
        <v>39</v>
      </c>
      <c r="E5" s="22" t="s">
        <v>120</v>
      </c>
      <c r="F5" s="23" t="s">
        <v>40</v>
      </c>
      <c r="G5" s="24" t="s">
        <v>41</v>
      </c>
      <c r="H5" s="25"/>
      <c r="I5" s="26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</row>
    <row r="6" ht="13.5" customHeight="1" spans="1:21">
      <c r="A6" s="27" t="s">
        <v>42</v>
      </c>
      <c r="B6" s="27" t="s">
        <v>43</v>
      </c>
      <c r="C6" s="27" t="s">
        <v>44</v>
      </c>
      <c r="D6" s="27" t="s">
        <v>45</v>
      </c>
      <c r="E6" s="27" t="s">
        <v>121</v>
      </c>
      <c r="F6" s="27" t="s">
        <v>122</v>
      </c>
      <c r="G6" s="27" t="s">
        <v>123</v>
      </c>
      <c r="H6" s="27" t="s">
        <v>47</v>
      </c>
      <c r="I6" s="27" t="s">
        <v>48</v>
      </c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</row>
    <row r="7" ht="13.5" customHeight="1" spans="1:21">
      <c r="A7" s="30"/>
      <c r="B7" s="30"/>
      <c r="C7" s="30"/>
      <c r="D7" s="30"/>
      <c r="E7" s="30"/>
      <c r="F7" s="30"/>
      <c r="G7" s="30"/>
      <c r="H7" s="30"/>
      <c r="I7" s="30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</row>
    <row r="8" ht="14.25" customHeight="1" spans="1:21">
      <c r="A8" s="98">
        <v>16</v>
      </c>
      <c r="B8" s="98" t="s">
        <v>124</v>
      </c>
      <c r="C8" s="98" t="s">
        <v>125</v>
      </c>
      <c r="D8" s="98" t="s">
        <v>126</v>
      </c>
      <c r="E8" s="101" t="s">
        <v>127</v>
      </c>
      <c r="F8" s="101">
        <v>0.125</v>
      </c>
      <c r="G8" s="101" t="s">
        <v>128</v>
      </c>
      <c r="H8" s="101" t="s">
        <v>129</v>
      </c>
      <c r="I8" s="101" t="s">
        <v>130</v>
      </c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</row>
    <row r="9" ht="14.25" customHeight="1" spans="1:21">
      <c r="A9" s="98">
        <v>64</v>
      </c>
      <c r="B9" s="98" t="s">
        <v>124</v>
      </c>
      <c r="C9" s="98" t="s">
        <v>131</v>
      </c>
      <c r="D9" s="98" t="s">
        <v>126</v>
      </c>
      <c r="E9" s="101" t="s">
        <v>127</v>
      </c>
      <c r="F9" s="101">
        <v>0.125</v>
      </c>
      <c r="G9" s="101" t="s">
        <v>128</v>
      </c>
      <c r="H9" s="101" t="s">
        <v>129</v>
      </c>
      <c r="I9" s="101" t="s">
        <v>132</v>
      </c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</row>
    <row r="10" ht="14.25" customHeight="1" spans="1:21">
      <c r="A10" s="98">
        <v>57</v>
      </c>
      <c r="B10" s="98" t="s">
        <v>133</v>
      </c>
      <c r="C10" s="98" t="s">
        <v>134</v>
      </c>
      <c r="D10" s="98" t="s">
        <v>135</v>
      </c>
      <c r="E10" s="101" t="s">
        <v>127</v>
      </c>
      <c r="F10" s="101">
        <v>0.125</v>
      </c>
      <c r="G10" s="101" t="s">
        <v>136</v>
      </c>
      <c r="H10" s="101" t="s">
        <v>129</v>
      </c>
      <c r="I10" s="101" t="s">
        <v>137</v>
      </c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</row>
    <row r="11" ht="14.25" customHeight="1" spans="1:21">
      <c r="A11" s="68"/>
      <c r="B11" s="69"/>
      <c r="C11" s="70"/>
      <c r="D11" s="70"/>
      <c r="E11" s="70"/>
      <c r="F11" s="104"/>
      <c r="G11" s="70"/>
      <c r="H11" s="74"/>
      <c r="I11" s="75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</row>
    <row r="12" ht="14.25" customHeight="1" spans="1:21">
      <c r="A12" s="76"/>
      <c r="B12" s="76"/>
      <c r="C12" s="77"/>
      <c r="D12" s="78"/>
      <c r="E12" s="105"/>
      <c r="F12" s="80"/>
      <c r="G12" s="80"/>
      <c r="H12" s="81" t="s">
        <v>66</v>
      </c>
      <c r="I12" s="106">
        <v>232.9</v>
      </c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</row>
    <row r="13" ht="13.5" customHeight="1" spans="1:21">
      <c r="A13" s="13"/>
      <c r="B13" s="13"/>
      <c r="C13" s="13"/>
      <c r="D13" s="59"/>
      <c r="E13" s="105"/>
      <c r="F13" s="96" t="s">
        <v>68</v>
      </c>
      <c r="G13" s="96"/>
      <c r="H13" s="25"/>
      <c r="I13" s="26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</row>
    <row r="14" ht="13.5" customHeight="1" spans="1:21">
      <c r="A14" s="13"/>
      <c r="B14" s="13"/>
      <c r="C14" s="13"/>
      <c r="D14" s="59"/>
      <c r="E14" s="105"/>
      <c r="F14" s="107"/>
      <c r="G14" s="108"/>
      <c r="H14" s="108"/>
      <c r="I14" s="109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</row>
    <row r="15" ht="14.25" customHeight="1" spans="1:21">
      <c r="A15" s="13"/>
      <c r="B15" s="97" t="s">
        <v>67</v>
      </c>
      <c r="C15" s="97"/>
      <c r="D15" s="59"/>
      <c r="E15" s="47"/>
      <c r="F15" s="57" t="s">
        <v>69</v>
      </c>
      <c r="G15" s="11"/>
      <c r="H15" s="11"/>
      <c r="I15" s="5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</row>
    <row r="16" ht="13.5" customHeight="1" spans="1:21">
      <c r="A16" s="13"/>
      <c r="B16" s="13"/>
      <c r="C16" s="13"/>
      <c r="D16" s="59"/>
      <c r="F16" s="57" t="s">
        <v>70</v>
      </c>
      <c r="G16" s="11"/>
      <c r="H16" s="11"/>
      <c r="I16" s="58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</row>
    <row r="17" ht="12.75" customHeight="1" spans="1:21">
      <c r="A17" s="13"/>
      <c r="B17" s="13"/>
      <c r="C17" s="13"/>
      <c r="D17" s="59"/>
      <c r="E17" s="13"/>
      <c r="F17" s="13"/>
      <c r="G17" s="13"/>
      <c r="H17" s="13"/>
      <c r="I17" s="1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</row>
    <row r="18" ht="12.75" customHeight="1" spans="1:21">
      <c r="A18" s="13"/>
      <c r="B18" s="13"/>
      <c r="C18" s="13"/>
      <c r="D18" s="59"/>
      <c r="E18" s="13"/>
      <c r="F18" s="13"/>
      <c r="G18" s="13"/>
      <c r="H18" s="13"/>
      <c r="I18" s="1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</row>
    <row r="19" ht="12.75" customHeight="1" spans="1:21">
      <c r="A19" s="13"/>
      <c r="B19" s="13"/>
      <c r="C19" s="13"/>
      <c r="D19" s="59"/>
      <c r="E19" s="13"/>
      <c r="F19" s="13"/>
      <c r="G19" s="13"/>
      <c r="H19" s="13"/>
      <c r="I19" s="1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</row>
    <row r="20" ht="12.75" customHeight="1" spans="1:21">
      <c r="A20" s="13"/>
      <c r="B20" s="13"/>
      <c r="C20" s="13"/>
      <c r="D20" s="59"/>
      <c r="E20" s="13"/>
      <c r="F20" s="13"/>
      <c r="G20" s="13"/>
      <c r="H20" s="13"/>
      <c r="I20" s="1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</row>
    <row r="21" ht="12.75" customHeight="1" spans="1:21">
      <c r="A21" s="13"/>
      <c r="B21" s="13"/>
      <c r="C21" s="13"/>
      <c r="D21" s="59"/>
      <c r="E21" s="13"/>
      <c r="F21" s="13"/>
      <c r="G21" s="13"/>
      <c r="H21" s="13"/>
      <c r="I21" s="1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</row>
    <row r="22" ht="12.75" customHeight="1" spans="1:21">
      <c r="A22" s="13"/>
      <c r="B22" s="13"/>
      <c r="C22" s="13"/>
      <c r="D22" s="59"/>
      <c r="E22" s="13"/>
      <c r="F22" s="13"/>
      <c r="G22" s="13"/>
      <c r="H22" s="13"/>
      <c r="I22" s="1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</row>
    <row r="23" ht="12.75" customHeight="1" spans="1:21">
      <c r="A23" s="13"/>
      <c r="B23" s="13"/>
      <c r="C23" s="13"/>
      <c r="D23" s="59"/>
      <c r="E23" s="13"/>
      <c r="F23" s="13"/>
      <c r="G23" s="13"/>
      <c r="H23" s="13"/>
      <c r="I23" s="1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</row>
    <row r="24" ht="12.75" customHeight="1" spans="1:21">
      <c r="A24" s="13"/>
      <c r="B24" s="13"/>
      <c r="C24" s="13"/>
      <c r="D24" s="59"/>
      <c r="E24" s="13"/>
      <c r="F24" s="13"/>
      <c r="G24" s="13"/>
      <c r="H24" s="13"/>
      <c r="I24" s="1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</row>
    <row r="25" ht="12.75" customHeight="1" spans="1:21">
      <c r="A25" s="13"/>
      <c r="B25" s="13"/>
      <c r="C25" s="13"/>
      <c r="D25" s="59"/>
      <c r="E25" s="13"/>
      <c r="F25" s="13"/>
      <c r="G25" s="13"/>
      <c r="H25" s="13"/>
      <c r="I25" s="1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</row>
    <row r="26" ht="12.75" customHeight="1" spans="1:21">
      <c r="A26" s="13"/>
      <c r="B26" s="13"/>
      <c r="C26" s="13"/>
      <c r="D26" s="5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2.75" customHeight="1" spans="1:21">
      <c r="A27" s="13"/>
      <c r="B27" s="13"/>
      <c r="C27" s="13"/>
      <c r="D27" s="5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2.75" customHeight="1" spans="1:21">
      <c r="A28" s="13"/>
      <c r="B28" s="13"/>
      <c r="C28" s="13"/>
      <c r="D28" s="5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2.75" customHeight="1" spans="1:21">
      <c r="A29" s="13"/>
      <c r="B29" s="13"/>
      <c r="C29" s="13"/>
      <c r="D29" s="5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2.75" customHeight="1" spans="1:21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2.75" customHeight="1" spans="1:21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2.75" customHeight="1" spans="1:21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2.75" customHeight="1" spans="1:15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2.75" customHeight="1" spans="1:15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2.75" customHeight="1" spans="1:15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2.75" customHeight="1" spans="1:15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2.75" customHeight="1" spans="1:15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2.75" customHeight="1" spans="1:15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2.75" customHeight="1" spans="1:15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2.75" customHeight="1" spans="1:15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2.75" customHeight="1" spans="1:15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2.75" customHeight="1" spans="1:15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2.75" customHeight="1" spans="1:15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 spans="1:15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2.75" customHeight="1" spans="1:15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2.75" customHeight="1" spans="1:15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2.75" customHeight="1" spans="1:15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2.75" customHeight="1" spans="1:15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2.75" customHeight="1" spans="1:15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 spans="1:15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2.75" customHeight="1" spans="1:15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2.75" customHeight="1" spans="1:15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2.75" customHeight="1" spans="1:15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2.75" customHeight="1" spans="1:15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2.75" customHeight="1" spans="1:15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 spans="1:15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 spans="1:15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 spans="1:15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 spans="1:15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 spans="1:15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 spans="1:15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 spans="1:15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 spans="1:15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 spans="1:15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 spans="1:15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 spans="1:15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 spans="1:15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 spans="1:15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 spans="1:15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 spans="1:15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 spans="1:15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 spans="1:15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 spans="1:15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 spans="1:15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 spans="1:15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 spans="1:15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 spans="1:15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 spans="1:15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 spans="1:15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 spans="1:15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 spans="1:15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 spans="1:15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2.75" customHeight="1" spans="1:15">
      <c r="A83" s="13"/>
      <c r="B83" s="13"/>
      <c r="C83" s="13"/>
      <c r="D83" s="5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2.75" customHeight="1" spans="1:15">
      <c r="A84" s="13"/>
      <c r="B84" s="13"/>
      <c r="C84" s="13"/>
      <c r="D84" s="5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2.75" customHeight="1" spans="1:15">
      <c r="A85" s="13"/>
      <c r="B85" s="13"/>
      <c r="C85" s="13"/>
      <c r="D85" s="5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2.75" customHeight="1" spans="1:15">
      <c r="A86" s="13"/>
      <c r="B86" s="13"/>
      <c r="C86" s="13"/>
      <c r="D86" s="5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2.75" customHeight="1" spans="1:15">
      <c r="A87" s="13"/>
      <c r="B87" s="13"/>
      <c r="C87" s="13"/>
      <c r="D87" s="5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2.75" customHeight="1" spans="1:15">
      <c r="A88" s="13"/>
      <c r="B88" s="13"/>
      <c r="C88" s="13"/>
      <c r="D88" s="5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2.75" customHeight="1" spans="1:15">
      <c r="A89" s="13"/>
      <c r="B89" s="13"/>
      <c r="C89" s="13"/>
      <c r="D89" s="5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2.75" customHeight="1" spans="1:15">
      <c r="A90" s="13"/>
      <c r="B90" s="13"/>
      <c r="C90" s="13"/>
      <c r="D90" s="5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2.75" customHeight="1" spans="1:15">
      <c r="A91" s="13"/>
      <c r="B91" s="13"/>
      <c r="C91" s="13"/>
      <c r="D91" s="5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2.75" customHeight="1" spans="1:15">
      <c r="A92" s="13"/>
      <c r="B92" s="13"/>
      <c r="C92" s="13"/>
      <c r="D92" s="5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2.75" customHeight="1" spans="1:15">
      <c r="A93" s="13"/>
      <c r="B93" s="13"/>
      <c r="C93" s="13"/>
      <c r="D93" s="5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2.75" customHeight="1" spans="1:15">
      <c r="A94" s="13"/>
      <c r="B94" s="13"/>
      <c r="C94" s="13"/>
      <c r="D94" s="5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ht="12.75" customHeight="1" spans="1:15">
      <c r="A95" s="13"/>
      <c r="B95" s="13"/>
      <c r="C95" s="13"/>
      <c r="D95" s="5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12.75" customHeight="1" spans="1:15">
      <c r="A96" s="13"/>
      <c r="B96" s="13"/>
      <c r="C96" s="13"/>
      <c r="D96" s="5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12.75" customHeight="1" spans="1:15">
      <c r="A97" s="13"/>
      <c r="B97" s="13"/>
      <c r="C97" s="13"/>
      <c r="D97" s="5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2.75" customHeight="1" spans="1:15">
      <c r="A98" s="13"/>
      <c r="B98" s="13"/>
      <c r="C98" s="13"/>
      <c r="D98" s="5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12.75" customHeight="1" spans="1:15">
      <c r="A99" s="13"/>
      <c r="B99" s="13"/>
      <c r="C99" s="13"/>
      <c r="D99" s="5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2.75" customHeight="1" spans="1:15">
      <c r="A100" s="13"/>
      <c r="B100" s="13"/>
      <c r="C100" s="13"/>
      <c r="D100" s="5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</sheetData>
  <mergeCells count="17">
    <mergeCell ref="D3:E3"/>
    <mergeCell ref="F3:I3"/>
    <mergeCell ref="D4:E4"/>
    <mergeCell ref="F4:I4"/>
    <mergeCell ref="F15:I15"/>
    <mergeCell ref="F16:I1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:C5"/>
    <mergeCell ref="D1:G2"/>
  </mergeCell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"/>
  <sheetViews>
    <sheetView zoomScale="85" zoomScaleNormal="85" workbookViewId="0">
      <selection activeCell="M9" sqref="M9"/>
    </sheetView>
  </sheetViews>
  <sheetFormatPr defaultColWidth="14.4444444444444" defaultRowHeight="15" customHeight="1"/>
  <cols>
    <col min="1" max="1" width="7.66666666666667" customWidth="1"/>
    <col min="2" max="2" width="12.6666666666667" customWidth="1"/>
    <col min="3" max="3" width="27.6666666666667" customWidth="1"/>
    <col min="4" max="4" width="9.66666666666667" customWidth="1"/>
    <col min="5" max="7" width="8.33333333333333" customWidth="1"/>
    <col min="8" max="8" width="14.6666666666667" customWidth="1"/>
    <col min="9" max="9" width="11.6666666666667" customWidth="1"/>
    <col min="10" max="10" width="5.66666666666667" customWidth="1"/>
    <col min="11" max="11" width="8.66666666666667" customWidth="1"/>
    <col min="12" max="12" width="11.6666666666667" customWidth="1"/>
    <col min="13" max="15" width="9.11111111111111" customWidth="1"/>
  </cols>
  <sheetData>
    <row r="1" ht="14.25" customHeight="1" spans="1:20">
      <c r="A1" s="1" t="s">
        <v>30</v>
      </c>
      <c r="B1" s="2"/>
      <c r="C1" s="3"/>
      <c r="D1" s="4" t="s">
        <v>138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</row>
    <row r="2" ht="14.25" customHeight="1" spans="1:20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7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ht="14.25" customHeight="1" spans="1:20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7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ht="14.25" customHeight="1" spans="1:20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7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ht="14.25" customHeight="1" spans="1:20">
      <c r="A5" s="18"/>
      <c r="B5" s="19"/>
      <c r="C5" s="20"/>
      <c r="D5" s="21" t="s">
        <v>39</v>
      </c>
      <c r="E5" s="22" t="s">
        <v>139</v>
      </c>
      <c r="F5" s="23" t="s">
        <v>40</v>
      </c>
      <c r="G5" s="24" t="s">
        <v>41</v>
      </c>
      <c r="H5" s="25"/>
      <c r="I5" s="26"/>
      <c r="J5" s="7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13.5" customHeight="1" spans="1:20">
      <c r="A6" s="27" t="s">
        <v>42</v>
      </c>
      <c r="B6" s="27" t="s">
        <v>43</v>
      </c>
      <c r="C6" s="27" t="s">
        <v>44</v>
      </c>
      <c r="D6" s="27" t="s">
        <v>45</v>
      </c>
      <c r="E6" s="27" t="s">
        <v>46</v>
      </c>
      <c r="F6" s="27" t="s">
        <v>140</v>
      </c>
      <c r="G6" s="27" t="s">
        <v>141</v>
      </c>
      <c r="H6" s="27" t="s">
        <v>47</v>
      </c>
      <c r="I6" s="27" t="s">
        <v>48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13.5" customHeight="1" spans="1:20">
      <c r="A7" s="30"/>
      <c r="B7" s="30"/>
      <c r="C7" s="30"/>
      <c r="D7" s="30"/>
      <c r="E7" s="30"/>
      <c r="F7" s="30"/>
      <c r="G7" s="30"/>
      <c r="H7" s="30"/>
      <c r="I7" s="3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ht="14.25" customHeight="1" spans="1:20">
      <c r="A8" s="98">
        <v>4</v>
      </c>
      <c r="B8" s="98" t="s">
        <v>142</v>
      </c>
      <c r="C8" s="98" t="s">
        <v>143</v>
      </c>
      <c r="D8" s="98" t="s">
        <v>144</v>
      </c>
      <c r="E8" s="99" t="s">
        <v>145</v>
      </c>
      <c r="F8" s="100">
        <v>0.7</v>
      </c>
      <c r="G8" s="101" t="s">
        <v>146</v>
      </c>
      <c r="H8" s="101" t="s">
        <v>147</v>
      </c>
      <c r="I8" s="92">
        <v>46.2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ht="14.25" customHeight="1" spans="1:20">
      <c r="A9" s="98">
        <v>22</v>
      </c>
      <c r="B9" s="98" t="s">
        <v>148</v>
      </c>
      <c r="C9" s="98" t="s">
        <v>143</v>
      </c>
      <c r="D9" s="98" t="s">
        <v>144</v>
      </c>
      <c r="E9" s="99" t="s">
        <v>149</v>
      </c>
      <c r="F9" s="100">
        <v>0.7</v>
      </c>
      <c r="G9" s="101" t="s">
        <v>146</v>
      </c>
      <c r="H9" s="101" t="s">
        <v>62</v>
      </c>
      <c r="I9" s="92">
        <v>512.4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ht="14.25" customHeight="1" spans="1:20">
      <c r="A10" s="98">
        <v>8</v>
      </c>
      <c r="B10" s="98" t="s">
        <v>150</v>
      </c>
      <c r="C10" s="98" t="s">
        <v>151</v>
      </c>
      <c r="D10" s="98" t="s">
        <v>59</v>
      </c>
      <c r="E10" s="99" t="s">
        <v>149</v>
      </c>
      <c r="F10" s="100">
        <v>0.06</v>
      </c>
      <c r="G10" s="101" t="s">
        <v>146</v>
      </c>
      <c r="H10" s="101" t="s">
        <v>152</v>
      </c>
      <c r="I10" s="92">
        <v>78.8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14.25" customHeight="1" spans="1:20">
      <c r="A11" s="98">
        <v>30</v>
      </c>
      <c r="B11" s="98" t="s">
        <v>150</v>
      </c>
      <c r="C11" s="98" t="s">
        <v>151</v>
      </c>
      <c r="D11" s="98" t="s">
        <v>59</v>
      </c>
      <c r="E11" s="99" t="s">
        <v>149</v>
      </c>
      <c r="F11" s="100">
        <v>0.06</v>
      </c>
      <c r="G11" s="101" t="s">
        <v>146</v>
      </c>
      <c r="H11" s="101" t="s">
        <v>153</v>
      </c>
      <c r="I11" s="92">
        <v>115.7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ht="14.25" customHeight="1" spans="1:20">
      <c r="A12" s="102">
        <v>4</v>
      </c>
      <c r="B12" s="98" t="s">
        <v>154</v>
      </c>
      <c r="C12" s="98" t="s">
        <v>151</v>
      </c>
      <c r="D12" s="98" t="s">
        <v>59</v>
      </c>
      <c r="E12" s="99" t="s">
        <v>149</v>
      </c>
      <c r="F12" s="100">
        <v>0.06</v>
      </c>
      <c r="G12" s="101" t="s">
        <v>146</v>
      </c>
      <c r="H12" s="101" t="s">
        <v>155</v>
      </c>
      <c r="I12" s="101" t="s">
        <v>156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4.25" customHeight="1" spans="1:20">
      <c r="A13" s="98">
        <v>15</v>
      </c>
      <c r="B13" s="98" t="s">
        <v>157</v>
      </c>
      <c r="C13" s="98" t="s">
        <v>158</v>
      </c>
      <c r="D13" s="98" t="s">
        <v>157</v>
      </c>
      <c r="E13" s="99" t="s">
        <v>145</v>
      </c>
      <c r="F13" s="100">
        <v>0.05</v>
      </c>
      <c r="G13" s="101" t="s">
        <v>146</v>
      </c>
      <c r="H13" s="101" t="s">
        <v>159</v>
      </c>
      <c r="I13" s="101" t="s">
        <v>160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4.25" customHeight="1" spans="1:20">
      <c r="A14" s="98"/>
      <c r="B14" s="98"/>
      <c r="C14" s="98"/>
      <c r="D14" s="98"/>
      <c r="E14" s="99"/>
      <c r="F14" s="100"/>
      <c r="G14" s="13"/>
      <c r="H14" s="101"/>
      <c r="I14" s="101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ht="14.25" customHeight="1" spans="1:20">
      <c r="A15" s="76"/>
      <c r="B15" s="76"/>
      <c r="C15" s="77"/>
      <c r="D15" s="78"/>
      <c r="E15" s="79"/>
      <c r="F15" s="80"/>
      <c r="G15" s="80"/>
      <c r="H15" s="81" t="s">
        <v>66</v>
      </c>
      <c r="I15" s="95">
        <f>SUM(I8:I14)</f>
        <v>753.1</v>
      </c>
      <c r="J15" s="87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ht="13.5" customHeight="1" spans="1:20">
      <c r="A16" s="83"/>
      <c r="B16" s="83"/>
      <c r="C16" s="97" t="s">
        <v>67</v>
      </c>
      <c r="D16" s="83"/>
      <c r="E16" s="84"/>
      <c r="F16" s="96" t="s">
        <v>68</v>
      </c>
      <c r="G16" s="96"/>
      <c r="H16" s="25"/>
      <c r="I16" s="26"/>
      <c r="J16" s="8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ht="13.5" customHeight="1" spans="1:20">
      <c r="A17" s="13"/>
      <c r="B17" s="13"/>
      <c r="C17" s="13"/>
      <c r="D17" s="59"/>
      <c r="E17" s="85"/>
      <c r="F17" s="53"/>
      <c r="G17" s="53"/>
      <c r="H17" s="53"/>
      <c r="I17" s="5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13.5" customHeight="1" spans="1:20">
      <c r="A18" s="13"/>
      <c r="B18" s="13"/>
      <c r="C18" s="13"/>
      <c r="D18" s="59"/>
      <c r="E18" s="85"/>
      <c r="F18" s="86" t="s">
        <v>69</v>
      </c>
      <c r="G18" s="56"/>
      <c r="H18" s="56"/>
      <c r="I18" s="29"/>
      <c r="J18" s="13"/>
      <c r="K18" s="13"/>
      <c r="L18" s="13"/>
      <c r="M18" s="13"/>
      <c r="N18" s="13"/>
      <c r="O18" s="13"/>
    </row>
    <row r="19" ht="13.5" customHeight="1" spans="1:20">
      <c r="A19" s="13"/>
      <c r="B19" s="13"/>
      <c r="C19" s="13"/>
      <c r="D19" s="59"/>
      <c r="E19" s="85"/>
      <c r="F19" s="57" t="s">
        <v>70</v>
      </c>
      <c r="G19" s="11"/>
      <c r="H19" s="11"/>
      <c r="I19" s="58"/>
      <c r="J19" s="13"/>
      <c r="K19" s="13"/>
      <c r="L19" s="13"/>
      <c r="M19" s="13"/>
      <c r="N19" s="13"/>
      <c r="O19" s="13"/>
    </row>
    <row r="20" ht="12.75" customHeight="1" spans="1:20">
      <c r="A20" s="13"/>
      <c r="B20" s="13"/>
      <c r="C20" s="13"/>
      <c r="D20" s="5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2.75" customHeight="1" spans="1:20">
      <c r="A21" s="13"/>
      <c r="B21" s="13"/>
      <c r="C21" s="13"/>
      <c r="D21" s="5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2.75" customHeight="1" spans="1:20">
      <c r="A22" s="13"/>
      <c r="B22" s="13"/>
      <c r="C22" s="13"/>
      <c r="D22" s="5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2.75" customHeight="1" spans="1:20">
      <c r="A23" s="13"/>
      <c r="B23" s="13"/>
      <c r="C23" s="13"/>
      <c r="D23" s="5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2.75" customHeight="1" spans="1:20">
      <c r="A24" s="13"/>
      <c r="B24" s="13"/>
      <c r="C24" s="13"/>
      <c r="D24" s="5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2.75" customHeight="1" spans="1:20">
      <c r="A25" s="13"/>
      <c r="B25" s="13"/>
      <c r="C25" s="13"/>
      <c r="D25" s="5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2.75" customHeight="1" spans="1:20">
      <c r="A26" s="13"/>
      <c r="B26" s="13"/>
      <c r="C26" s="13"/>
      <c r="D26" s="5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2.75" customHeight="1" spans="1:20">
      <c r="A27" s="13"/>
      <c r="B27" s="13"/>
      <c r="C27" s="13"/>
      <c r="D27" s="5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2.75" customHeight="1" spans="1:20">
      <c r="A28" s="13"/>
      <c r="B28" s="13"/>
      <c r="C28" s="13"/>
      <c r="D28" s="5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2.75" customHeight="1" spans="1:20">
      <c r="A29" s="13"/>
      <c r="B29" s="13"/>
      <c r="C29" s="13"/>
      <c r="D29" s="5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2.75" customHeight="1" spans="1:20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2.75" customHeight="1" spans="1:20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2.75" customHeight="1" spans="1:20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2.75" customHeight="1" spans="1:15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2.75" customHeight="1" spans="1:15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2.75" customHeight="1" spans="1:15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2.75" customHeight="1" spans="1:15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2.75" customHeight="1" spans="1:15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2.75" customHeight="1" spans="1:15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2.75" customHeight="1" spans="1:15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2.75" customHeight="1" spans="1:15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2.75" customHeight="1" spans="1:15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2.75" customHeight="1" spans="1:15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2.75" customHeight="1" spans="1:15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 spans="1:15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2.75" customHeight="1" spans="1:15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2.75" customHeight="1" spans="1:15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2.75" customHeight="1" spans="1:15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2.75" customHeight="1" spans="1:15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2.75" customHeight="1" spans="1:15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 spans="1:15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2.75" customHeight="1" spans="1:15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2.75" customHeight="1" spans="1:15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2.75" customHeight="1" spans="1:15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2.75" customHeight="1" spans="1:15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2.75" customHeight="1" spans="1:15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 spans="1:15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 spans="1:15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 spans="1:15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 spans="1:15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 spans="1:15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 spans="1:15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 spans="1:15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 spans="1:15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 spans="1:15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 spans="1:15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 spans="1:15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 spans="1:15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 spans="1:15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 spans="1:15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 spans="1:15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 spans="1:15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 spans="1:15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 spans="1:15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 spans="1:15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 spans="1:15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 spans="1:15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 spans="1:15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 spans="1:15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 spans="1:15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 spans="1:15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 spans="1:15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 spans="1:15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2.75" customHeight="1" spans="1:15">
      <c r="A83" s="13"/>
      <c r="B83" s="13"/>
      <c r="C83" s="13"/>
      <c r="D83" s="5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2.75" customHeight="1" spans="1:15">
      <c r="A84" s="13"/>
      <c r="B84" s="13"/>
      <c r="C84" s="13"/>
      <c r="D84" s="5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2.75" customHeight="1" spans="1:15">
      <c r="A85" s="13"/>
      <c r="B85" s="13"/>
      <c r="C85" s="13"/>
      <c r="D85" s="5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2.75" customHeight="1" spans="1:15">
      <c r="A86" s="13"/>
      <c r="B86" s="13"/>
      <c r="C86" s="13"/>
      <c r="D86" s="5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2.75" customHeight="1" spans="1:15">
      <c r="A87" s="13"/>
      <c r="B87" s="13"/>
      <c r="C87" s="13"/>
      <c r="D87" s="5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2.75" customHeight="1" spans="1:15">
      <c r="A88" s="13"/>
      <c r="B88" s="13"/>
      <c r="C88" s="13"/>
      <c r="D88" s="5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2.75" customHeight="1" spans="1:15">
      <c r="A89" s="13"/>
      <c r="B89" s="13"/>
      <c r="C89" s="13"/>
      <c r="D89" s="5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2.75" customHeight="1" spans="1:15">
      <c r="A90" s="13"/>
      <c r="B90" s="13"/>
      <c r="C90" s="13"/>
      <c r="D90" s="5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2.75" customHeight="1" spans="1:15">
      <c r="A91" s="13"/>
      <c r="B91" s="13"/>
      <c r="C91" s="13"/>
      <c r="D91" s="5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2.75" customHeight="1" spans="1:15">
      <c r="A92" s="13"/>
      <c r="B92" s="13"/>
      <c r="C92" s="13"/>
      <c r="D92" s="5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2.75" customHeight="1" spans="1:15">
      <c r="A93" s="13"/>
      <c r="B93" s="13"/>
      <c r="C93" s="13"/>
      <c r="D93" s="5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2.75" customHeight="1" spans="1:15">
      <c r="A94" s="13"/>
      <c r="B94" s="13"/>
      <c r="C94" s="13"/>
      <c r="D94" s="5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ht="12.75" customHeight="1" spans="1:15">
      <c r="A95" s="13"/>
      <c r="B95" s="13"/>
      <c r="C95" s="13"/>
      <c r="D95" s="5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12.75" customHeight="1" spans="1:15">
      <c r="A96" s="13"/>
      <c r="B96" s="13"/>
      <c r="C96" s="13"/>
      <c r="D96" s="5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12.75" customHeight="1" spans="1:15">
      <c r="A97" s="13"/>
      <c r="B97" s="13"/>
      <c r="C97" s="13"/>
      <c r="D97" s="5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2.75" customHeight="1" spans="1:15">
      <c r="A98" s="13"/>
      <c r="B98" s="13"/>
      <c r="C98" s="13"/>
      <c r="D98" s="5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12.75" customHeight="1" spans="1:15">
      <c r="A99" s="13"/>
      <c r="B99" s="13"/>
      <c r="C99" s="13"/>
      <c r="D99" s="5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2.75" customHeight="1" spans="1:15">
      <c r="A100" s="13"/>
      <c r="B100" s="13"/>
      <c r="C100" s="13"/>
      <c r="D100" s="5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</sheetData>
  <mergeCells count="17">
    <mergeCell ref="D3:E3"/>
    <mergeCell ref="F3:I3"/>
    <mergeCell ref="D4:E4"/>
    <mergeCell ref="F4:I4"/>
    <mergeCell ref="F18:I18"/>
    <mergeCell ref="F19:I19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:C5"/>
    <mergeCell ref="D1:G2"/>
  </mergeCells>
  <pageMargins left="0.7" right="0.7" top="0.75" bottom="0.75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zoomScale="85" zoomScaleNormal="85" workbookViewId="0">
      <selection activeCell="D21" sqref="D21"/>
    </sheetView>
  </sheetViews>
  <sheetFormatPr defaultColWidth="14.4444444444444" defaultRowHeight="15" customHeight="1"/>
  <cols>
    <col min="1" max="2" width="7.66666666666667" customWidth="1"/>
    <col min="3" max="3" width="27.6666666666667" customWidth="1"/>
    <col min="4" max="4" width="9.66666666666667" customWidth="1"/>
    <col min="5" max="7" width="8.33333333333333" customWidth="1"/>
    <col min="8" max="8" width="14.6666666666667" customWidth="1"/>
    <col min="9" max="9" width="11.6666666666667" customWidth="1"/>
    <col min="10" max="10" width="5.66666666666667" customWidth="1"/>
    <col min="11" max="11" width="8.66666666666667" customWidth="1"/>
    <col min="12" max="12" width="11.6666666666667" customWidth="1"/>
    <col min="13" max="13" width="9.11111111111111" customWidth="1"/>
    <col min="14" max="14" width="18.3333333333333" customWidth="1"/>
    <col min="15" max="15" width="9.11111111111111" customWidth="1"/>
  </cols>
  <sheetData>
    <row r="1" ht="14.25" customHeight="1" spans="1:15">
      <c r="A1" s="1" t="s">
        <v>30</v>
      </c>
      <c r="B1" s="2"/>
      <c r="C1" s="3"/>
      <c r="D1" s="4" t="s">
        <v>161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</row>
    <row r="2" ht="14.25" customHeight="1" spans="1:15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7"/>
      <c r="K2" s="7"/>
      <c r="L2" s="7"/>
      <c r="M2" s="7"/>
      <c r="N2" s="7"/>
      <c r="O2" s="7"/>
    </row>
    <row r="3" ht="14.25" customHeight="1" spans="1:15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7"/>
    </row>
    <row r="4" ht="14.25" customHeight="1" spans="1:15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7"/>
    </row>
    <row r="5" ht="14.25" customHeight="1" spans="1:15">
      <c r="A5" s="18"/>
      <c r="B5" s="19"/>
      <c r="C5" s="20"/>
      <c r="D5" s="21" t="s">
        <v>39</v>
      </c>
      <c r="E5" s="22" t="s">
        <v>162</v>
      </c>
      <c r="F5" s="23" t="s">
        <v>40</v>
      </c>
      <c r="G5" s="24" t="s">
        <v>41</v>
      </c>
      <c r="H5" s="25"/>
      <c r="I5" s="26"/>
      <c r="J5" s="7"/>
    </row>
    <row r="6" ht="13.5" customHeight="1" spans="1:15">
      <c r="A6" s="27" t="s">
        <v>42</v>
      </c>
      <c r="B6" s="27" t="s">
        <v>43</v>
      </c>
      <c r="C6" s="27" t="s">
        <v>44</v>
      </c>
      <c r="D6" s="27" t="s">
        <v>45</v>
      </c>
      <c r="E6" s="27" t="s">
        <v>46</v>
      </c>
      <c r="F6" s="27" t="s">
        <v>163</v>
      </c>
      <c r="G6" s="27" t="s">
        <v>122</v>
      </c>
      <c r="H6" s="27" t="s">
        <v>47</v>
      </c>
      <c r="I6" s="27" t="s">
        <v>48</v>
      </c>
      <c r="J6" s="13"/>
    </row>
    <row r="7" ht="13.5" customHeight="1" spans="1:15">
      <c r="A7" s="88"/>
      <c r="B7" s="88"/>
      <c r="C7" s="88"/>
      <c r="D7" s="88"/>
      <c r="E7" s="88"/>
      <c r="F7" s="88"/>
      <c r="G7" s="88"/>
      <c r="H7" s="88"/>
      <c r="I7" s="88"/>
      <c r="J7" s="13"/>
    </row>
    <row r="8" ht="14.25" customHeight="1" spans="1:15">
      <c r="A8" s="89">
        <v>14</v>
      </c>
      <c r="B8" s="90" t="s">
        <v>164</v>
      </c>
      <c r="C8" s="90" t="s">
        <v>165</v>
      </c>
      <c r="D8" s="90" t="s">
        <v>164</v>
      </c>
      <c r="E8" s="90" t="s">
        <v>75</v>
      </c>
      <c r="F8" s="90" t="s">
        <v>166</v>
      </c>
      <c r="G8" s="91">
        <v>0.019</v>
      </c>
      <c r="H8" s="89" t="s">
        <v>167</v>
      </c>
      <c r="I8" s="92">
        <v>170.2</v>
      </c>
      <c r="J8" s="93"/>
    </row>
    <row r="9" ht="14.25" customHeight="1" spans="1:15">
      <c r="A9" s="89">
        <v>4</v>
      </c>
      <c r="B9" s="90" t="s">
        <v>168</v>
      </c>
      <c r="C9" s="90" t="s">
        <v>169</v>
      </c>
      <c r="D9" s="90" t="s">
        <v>168</v>
      </c>
      <c r="E9" s="90" t="s">
        <v>75</v>
      </c>
      <c r="F9" s="90"/>
      <c r="G9" s="91">
        <v>0.019</v>
      </c>
      <c r="H9" s="89" t="s">
        <v>170</v>
      </c>
      <c r="I9" s="92">
        <v>63.6</v>
      </c>
      <c r="J9" s="93"/>
    </row>
    <row r="10" ht="14.25" customHeight="1" spans="1:15">
      <c r="A10" s="89">
        <v>4</v>
      </c>
      <c r="B10" s="90" t="s">
        <v>171</v>
      </c>
      <c r="C10" s="90" t="s">
        <v>172</v>
      </c>
      <c r="D10" s="90" t="s">
        <v>171</v>
      </c>
      <c r="E10" s="90" t="s">
        <v>75</v>
      </c>
      <c r="F10" s="90"/>
      <c r="G10" s="91">
        <v>0.019</v>
      </c>
      <c r="H10" s="89" t="s">
        <v>173</v>
      </c>
      <c r="I10" s="92">
        <v>5.2</v>
      </c>
      <c r="J10" s="93"/>
    </row>
    <row r="11" ht="14.25" customHeight="1" spans="1:15">
      <c r="A11" s="89">
        <v>2</v>
      </c>
      <c r="B11" s="90" t="s">
        <v>174</v>
      </c>
      <c r="C11" s="90" t="s">
        <v>175</v>
      </c>
      <c r="D11" s="90" t="s">
        <v>174</v>
      </c>
      <c r="E11" s="90" t="s">
        <v>75</v>
      </c>
      <c r="F11" s="90" t="s">
        <v>166</v>
      </c>
      <c r="G11" s="91">
        <v>0.019</v>
      </c>
      <c r="H11" s="89" t="s">
        <v>173</v>
      </c>
      <c r="I11" s="92">
        <v>2.6</v>
      </c>
      <c r="J11" s="93"/>
    </row>
    <row r="12" ht="14.25" customHeight="1" spans="1:15">
      <c r="A12" s="89">
        <v>4</v>
      </c>
      <c r="B12" s="90" t="s">
        <v>176</v>
      </c>
      <c r="C12" s="90" t="s">
        <v>177</v>
      </c>
      <c r="D12" s="90" t="s">
        <v>176</v>
      </c>
      <c r="E12" s="90" t="s">
        <v>75</v>
      </c>
      <c r="F12" s="90"/>
      <c r="G12" s="91">
        <v>0.019</v>
      </c>
      <c r="H12" s="89" t="s">
        <v>178</v>
      </c>
      <c r="I12" s="92">
        <v>33.9</v>
      </c>
      <c r="J12" s="93"/>
    </row>
    <row r="13" ht="14.25" customHeight="1" spans="1:15">
      <c r="A13" s="89">
        <v>30</v>
      </c>
      <c r="B13" s="90" t="s">
        <v>179</v>
      </c>
      <c r="C13" s="90" t="s">
        <v>180</v>
      </c>
      <c r="D13" s="90" t="s">
        <v>179</v>
      </c>
      <c r="E13" s="90" t="s">
        <v>75</v>
      </c>
      <c r="F13" s="90"/>
      <c r="G13" s="91">
        <v>0.018</v>
      </c>
      <c r="H13" s="89" t="s">
        <v>181</v>
      </c>
      <c r="I13" s="92">
        <v>424.2</v>
      </c>
      <c r="J13" s="93"/>
    </row>
    <row r="14" ht="14.25" customHeight="1" spans="1:15">
      <c r="A14" s="89">
        <v>4</v>
      </c>
      <c r="B14" s="90" t="s">
        <v>182</v>
      </c>
      <c r="C14" s="90" t="s">
        <v>183</v>
      </c>
      <c r="D14" s="90" t="s">
        <v>182</v>
      </c>
      <c r="E14" s="90" t="s">
        <v>75</v>
      </c>
      <c r="F14" s="90"/>
      <c r="G14" s="91">
        <v>0.018</v>
      </c>
      <c r="H14" s="89" t="s">
        <v>181</v>
      </c>
      <c r="I14" s="92">
        <v>28.3</v>
      </c>
      <c r="J14" s="93"/>
    </row>
    <row r="15" ht="14.25" customHeight="1" spans="1:15">
      <c r="A15" s="89">
        <v>8</v>
      </c>
      <c r="B15" s="90" t="s">
        <v>184</v>
      </c>
      <c r="C15" s="90" t="s">
        <v>185</v>
      </c>
      <c r="D15" s="90" t="s">
        <v>186</v>
      </c>
      <c r="E15" s="90" t="s">
        <v>75</v>
      </c>
      <c r="F15" s="90"/>
      <c r="G15" s="91">
        <v>0.019</v>
      </c>
      <c r="H15" s="89" t="s">
        <v>187</v>
      </c>
      <c r="I15" s="92">
        <v>10.6</v>
      </c>
      <c r="J15" s="93"/>
    </row>
    <row r="16" ht="14.25" customHeight="1" spans="1:15">
      <c r="A16" s="89">
        <v>24</v>
      </c>
      <c r="B16" s="90" t="s">
        <v>186</v>
      </c>
      <c r="C16" s="90" t="s">
        <v>188</v>
      </c>
      <c r="D16" s="90" t="s">
        <v>189</v>
      </c>
      <c r="E16" s="90" t="s">
        <v>75</v>
      </c>
      <c r="F16" s="90"/>
      <c r="G16" s="91">
        <v>0.019</v>
      </c>
      <c r="H16" s="89" t="s">
        <v>78</v>
      </c>
      <c r="I16" s="92">
        <v>74.8</v>
      </c>
      <c r="J16" s="93"/>
    </row>
    <row r="17" ht="14.25" customHeight="1" spans="1:15">
      <c r="A17" s="89">
        <v>8</v>
      </c>
      <c r="B17" s="89" t="s">
        <v>190</v>
      </c>
      <c r="C17" s="90" t="s">
        <v>188</v>
      </c>
      <c r="D17" s="89" t="s">
        <v>190</v>
      </c>
      <c r="E17" s="90" t="s">
        <v>75</v>
      </c>
      <c r="F17" s="89"/>
      <c r="G17" s="91">
        <v>0.019</v>
      </c>
      <c r="H17" s="89" t="s">
        <v>80</v>
      </c>
      <c r="I17" s="92">
        <v>9.3</v>
      </c>
      <c r="J17" s="93"/>
    </row>
    <row r="18" ht="14.25" customHeight="1" spans="1:15">
      <c r="A18" s="89">
        <v>24</v>
      </c>
      <c r="B18" s="89" t="s">
        <v>189</v>
      </c>
      <c r="C18" s="90" t="s">
        <v>188</v>
      </c>
      <c r="D18" s="89" t="s">
        <v>189</v>
      </c>
      <c r="E18" s="90" t="s">
        <v>75</v>
      </c>
      <c r="F18" s="94"/>
      <c r="G18" s="91">
        <v>0.019</v>
      </c>
      <c r="H18" s="89" t="s">
        <v>78</v>
      </c>
      <c r="I18" s="92">
        <v>73.7</v>
      </c>
      <c r="J18" s="93"/>
    </row>
    <row r="19" ht="14.25" customHeight="1" spans="1:15">
      <c r="A19" s="76"/>
      <c r="B19" s="76"/>
      <c r="C19" s="77"/>
      <c r="D19" s="78"/>
      <c r="E19" s="59"/>
      <c r="F19" s="80"/>
      <c r="G19" s="80"/>
      <c r="H19" s="81" t="s">
        <v>66</v>
      </c>
      <c r="I19" s="95">
        <f>SUM(I8:I18)</f>
        <v>896.4</v>
      </c>
      <c r="J19" s="13"/>
    </row>
    <row r="20" ht="14.25" customHeight="1" spans="1:15">
      <c r="A20" s="76"/>
      <c r="B20" s="76"/>
      <c r="C20" s="77"/>
      <c r="D20" s="78"/>
      <c r="E20" s="59"/>
      <c r="F20" s="80"/>
      <c r="G20" s="80"/>
      <c r="H20" s="81"/>
      <c r="I20" s="82"/>
      <c r="J20" s="87"/>
    </row>
    <row r="21" ht="13.5" customHeight="1" spans="1:15">
      <c r="A21" s="83"/>
      <c r="B21" s="83"/>
      <c r="C21" s="83"/>
      <c r="D21" s="83"/>
      <c r="E21" s="84"/>
      <c r="F21" s="96" t="s">
        <v>68</v>
      </c>
      <c r="G21" s="96"/>
      <c r="H21" s="25"/>
      <c r="I21" s="26"/>
      <c r="J21" s="83"/>
    </row>
    <row r="22" ht="13.5" customHeight="1" spans="1:15">
      <c r="A22" s="13"/>
      <c r="B22" s="13"/>
      <c r="C22" s="97" t="s">
        <v>191</v>
      </c>
      <c r="D22" s="59"/>
      <c r="E22" s="85"/>
      <c r="F22" s="53"/>
      <c r="G22" s="53"/>
      <c r="H22" s="53"/>
      <c r="I22" s="54"/>
      <c r="J22" s="13"/>
    </row>
    <row r="23" ht="13.5" customHeight="1" spans="1:15">
      <c r="A23" s="13"/>
      <c r="B23" s="13"/>
      <c r="C23" s="13"/>
      <c r="D23" s="59"/>
      <c r="E23" s="85"/>
      <c r="F23" s="86" t="s">
        <v>69</v>
      </c>
      <c r="G23" s="56"/>
      <c r="H23" s="56"/>
      <c r="I23" s="29"/>
      <c r="J23" s="13"/>
      <c r="K23" s="13"/>
      <c r="L23" s="13"/>
      <c r="M23" s="13"/>
      <c r="N23" s="13"/>
      <c r="O23" s="13"/>
    </row>
    <row r="24" ht="13.5" customHeight="1" spans="1:15">
      <c r="A24" s="13"/>
      <c r="B24" s="13"/>
      <c r="C24" s="13"/>
      <c r="D24" s="59"/>
      <c r="E24" s="85"/>
      <c r="F24" s="57" t="s">
        <v>70</v>
      </c>
      <c r="G24" s="11"/>
      <c r="H24" s="11"/>
      <c r="I24" s="58"/>
      <c r="J24" s="13"/>
      <c r="K24" s="13"/>
      <c r="L24" s="13"/>
    </row>
    <row r="25" ht="12.75" customHeight="1" spans="1:15">
      <c r="A25" s="13"/>
      <c r="B25" s="13"/>
      <c r="C25" s="13"/>
      <c r="D25" s="59"/>
      <c r="E25" s="13"/>
      <c r="F25" s="13"/>
      <c r="G25" s="13"/>
      <c r="H25" s="13"/>
      <c r="I25" s="13"/>
      <c r="J25" s="13"/>
      <c r="K25" s="13"/>
      <c r="L25" s="13"/>
    </row>
    <row r="26" ht="12.75" customHeight="1" spans="1:15">
      <c r="A26" s="13"/>
      <c r="B26" s="13"/>
      <c r="C26" s="13"/>
      <c r="D26" s="5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2.75" customHeight="1" spans="1:15">
      <c r="A27" s="13"/>
      <c r="B27" s="13"/>
      <c r="C27" s="13"/>
      <c r="D27" s="5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2.75" customHeight="1" spans="1:15">
      <c r="A28" s="13"/>
      <c r="B28" s="13"/>
      <c r="C28" s="13"/>
      <c r="D28" s="5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2.75" customHeight="1" spans="1:15">
      <c r="A29" s="13"/>
      <c r="B29" s="13"/>
      <c r="C29" s="13"/>
      <c r="D29" s="5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2.75" customHeight="1" spans="1:15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2.75" customHeight="1" spans="1:15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2.75" customHeight="1" spans="1:15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2.75" customHeight="1" spans="1:15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2.75" customHeight="1" spans="1:15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2.75" customHeight="1" spans="1:15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2.75" customHeight="1" spans="1:15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2.75" customHeight="1" spans="1:15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2.75" customHeight="1" spans="1:15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2.75" customHeight="1" spans="1:15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2.75" customHeight="1" spans="1:15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2.75" customHeight="1" spans="1:15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2.75" customHeight="1" spans="1:15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2.75" customHeight="1" spans="1:15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 spans="1:15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2.75" customHeight="1" spans="1:15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2.75" customHeight="1" spans="1:15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2.75" customHeight="1" spans="1:15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2.75" customHeight="1" spans="1:15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2.75" customHeight="1" spans="1:15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 spans="1:15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2.75" customHeight="1" spans="1:15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2.75" customHeight="1" spans="1:15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2.75" customHeight="1" spans="1:15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2.75" customHeight="1" spans="1:15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2.75" customHeight="1" spans="1:15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 spans="1:15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 spans="1:15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 spans="1:15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 spans="1:15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 spans="1:15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 spans="1:15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 spans="1:15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 spans="1:15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 spans="1:15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 spans="1:15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 spans="1:15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 spans="1:15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 spans="1:15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 spans="1:15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 spans="1:15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 spans="1:15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 spans="1:15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 spans="1:15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 spans="1:15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 spans="1:15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 spans="1:15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 spans="1:15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 spans="1:15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 spans="1:15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 spans="1:15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 spans="1:15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 spans="1:15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2.75" customHeight="1" spans="1:15">
      <c r="A83" s="13"/>
      <c r="B83" s="13"/>
      <c r="C83" s="13"/>
      <c r="D83" s="5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2.75" customHeight="1" spans="1:15">
      <c r="A84" s="13"/>
      <c r="B84" s="13"/>
      <c r="C84" s="13"/>
      <c r="D84" s="5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2.75" customHeight="1" spans="1:15">
      <c r="A85" s="13"/>
      <c r="B85" s="13"/>
      <c r="C85" s="13"/>
      <c r="D85" s="5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2.75" customHeight="1" spans="1:15">
      <c r="A86" s="13"/>
      <c r="B86" s="13"/>
      <c r="C86" s="13"/>
      <c r="D86" s="5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2.75" customHeight="1" spans="1:15">
      <c r="A87" s="13"/>
      <c r="B87" s="13"/>
      <c r="C87" s="13"/>
      <c r="D87" s="5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2.75" customHeight="1" spans="1:15">
      <c r="A88" s="13"/>
      <c r="B88" s="13"/>
      <c r="C88" s="13"/>
      <c r="D88" s="5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2.75" customHeight="1" spans="1:15">
      <c r="A89" s="13"/>
      <c r="B89" s="13"/>
      <c r="C89" s="13"/>
      <c r="D89" s="5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2.75" customHeight="1" spans="1:15">
      <c r="A90" s="13"/>
      <c r="B90" s="13"/>
      <c r="C90" s="13"/>
      <c r="D90" s="5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2.75" customHeight="1" spans="1:15">
      <c r="A91" s="13"/>
      <c r="B91" s="13"/>
      <c r="C91" s="13"/>
      <c r="D91" s="5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2.75" customHeight="1" spans="1:15">
      <c r="A92" s="13"/>
      <c r="B92" s="13"/>
      <c r="C92" s="13"/>
      <c r="D92" s="5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2.75" customHeight="1" spans="1:15">
      <c r="A93" s="13"/>
      <c r="B93" s="13"/>
      <c r="C93" s="13"/>
      <c r="D93" s="5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2.75" customHeight="1" spans="1:15">
      <c r="A94" s="13"/>
      <c r="B94" s="13"/>
      <c r="C94" s="13"/>
      <c r="D94" s="5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ht="12.75" customHeight="1" spans="1:15">
      <c r="A95" s="13"/>
      <c r="B95" s="13"/>
      <c r="C95" s="13"/>
      <c r="D95" s="5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12.75" customHeight="1" spans="1:15">
      <c r="A96" s="13"/>
      <c r="B96" s="13"/>
      <c r="C96" s="13"/>
      <c r="D96" s="5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12.75" customHeight="1" spans="1:15">
      <c r="A97" s="13"/>
      <c r="B97" s="13"/>
      <c r="C97" s="13"/>
      <c r="D97" s="5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2.75" customHeight="1" spans="1:15">
      <c r="A98" s="13"/>
      <c r="B98" s="13"/>
      <c r="C98" s="13"/>
      <c r="D98" s="5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12.75" customHeight="1" spans="1:15">
      <c r="A99" s="13"/>
      <c r="B99" s="13"/>
      <c r="C99" s="13"/>
      <c r="D99" s="5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2.75" customHeight="1" spans="1:15">
      <c r="A100" s="13"/>
      <c r="B100" s="13"/>
      <c r="C100" s="13"/>
      <c r="D100" s="5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</sheetData>
  <mergeCells count="17">
    <mergeCell ref="D3:E3"/>
    <mergeCell ref="F3:I3"/>
    <mergeCell ref="D4:E4"/>
    <mergeCell ref="F4:I4"/>
    <mergeCell ref="F23:I23"/>
    <mergeCell ref="F24:I2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:C5"/>
    <mergeCell ref="D1:G2"/>
  </mergeCells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"/>
  <sheetViews>
    <sheetView topLeftCell="B1" workbookViewId="0">
      <selection activeCell="E5" sqref="E5"/>
    </sheetView>
  </sheetViews>
  <sheetFormatPr defaultColWidth="14.4444444444444" defaultRowHeight="15" customHeight="1"/>
  <cols>
    <col min="1" max="2" width="7.66666666666667" customWidth="1"/>
    <col min="3" max="3" width="27.6666666666667" customWidth="1"/>
    <col min="4" max="4" width="9.66666666666667" customWidth="1"/>
    <col min="5" max="7" width="8.33333333333333" customWidth="1"/>
    <col min="8" max="8" width="14.6666666666667" customWidth="1"/>
    <col min="9" max="9" width="11.6666666666667" customWidth="1"/>
    <col min="10" max="10" width="5.66666666666667" customWidth="1"/>
    <col min="11" max="11" width="8.66666666666667" customWidth="1"/>
    <col min="12" max="12" width="11.6666666666667" customWidth="1"/>
    <col min="13" max="15" width="9.11111111111111" customWidth="1"/>
  </cols>
  <sheetData>
    <row r="1" ht="14.25" customHeight="1" spans="1:15">
      <c r="A1" s="1" t="s">
        <v>30</v>
      </c>
      <c r="B1" s="2"/>
      <c r="C1" s="3"/>
      <c r="D1" s="4" t="s">
        <v>192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</row>
    <row r="2" ht="14.25" customHeight="1" spans="1:15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7"/>
      <c r="K2" s="7"/>
      <c r="L2" s="7"/>
      <c r="M2" s="7"/>
      <c r="N2" s="7"/>
      <c r="O2" s="7"/>
    </row>
    <row r="3" ht="14.25" customHeight="1" spans="1:15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7"/>
      <c r="K3" s="7"/>
      <c r="L3" s="7"/>
      <c r="M3" s="7"/>
      <c r="N3" s="7"/>
      <c r="O3" s="7"/>
    </row>
    <row r="4" ht="14.25" customHeight="1" spans="1:15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7"/>
      <c r="K4" s="7"/>
      <c r="L4" s="7"/>
      <c r="M4" s="7"/>
      <c r="N4" s="7"/>
      <c r="O4" s="7"/>
    </row>
    <row r="5" ht="14.25" customHeight="1" spans="1:15">
      <c r="A5" s="18"/>
      <c r="B5" s="19"/>
      <c r="C5" s="20"/>
      <c r="D5" s="21" t="s">
        <v>39</v>
      </c>
      <c r="E5" s="22" t="s">
        <v>193</v>
      </c>
      <c r="F5" s="23" t="s">
        <v>40</v>
      </c>
      <c r="G5" s="24" t="s">
        <v>41</v>
      </c>
      <c r="H5" s="25"/>
      <c r="I5" s="26"/>
      <c r="J5" s="7"/>
      <c r="K5" s="7"/>
      <c r="L5" s="7"/>
      <c r="M5" s="7"/>
      <c r="N5" s="7"/>
      <c r="O5" s="7"/>
    </row>
    <row r="6" ht="13.5" customHeight="1" spans="1:15">
      <c r="A6" s="60" t="s">
        <v>42</v>
      </c>
      <c r="B6" s="60" t="s">
        <v>43</v>
      </c>
      <c r="C6" s="60" t="s">
        <v>44</v>
      </c>
      <c r="D6" s="60" t="s">
        <v>45</v>
      </c>
      <c r="E6" s="60" t="s">
        <v>140</v>
      </c>
      <c r="F6" s="61" t="s">
        <v>194</v>
      </c>
      <c r="G6" s="29"/>
      <c r="H6" s="60" t="s">
        <v>47</v>
      </c>
      <c r="I6" s="60" t="s">
        <v>48</v>
      </c>
      <c r="J6" s="13"/>
      <c r="K6" s="13"/>
      <c r="L6" s="13"/>
      <c r="M6" s="13"/>
      <c r="N6" s="13"/>
      <c r="O6" s="13"/>
    </row>
    <row r="7" ht="13.5" customHeight="1" spans="1:15">
      <c r="A7" s="30"/>
      <c r="B7" s="30"/>
      <c r="C7" s="30"/>
      <c r="D7" s="30"/>
      <c r="E7" s="30"/>
      <c r="F7" s="10"/>
      <c r="G7" s="58"/>
      <c r="H7" s="30"/>
      <c r="I7" s="30"/>
      <c r="J7" s="13"/>
      <c r="K7" s="13"/>
      <c r="L7" s="13"/>
      <c r="M7" s="13"/>
      <c r="N7" s="13"/>
      <c r="O7" s="13"/>
    </row>
    <row r="8" ht="14.25" customHeight="1" spans="1:15">
      <c r="A8" s="62"/>
      <c r="B8" s="63" t="s">
        <v>195</v>
      </c>
      <c r="C8" s="64" t="s">
        <v>196</v>
      </c>
      <c r="D8" s="63" t="s">
        <v>197</v>
      </c>
      <c r="E8" s="65"/>
      <c r="F8" s="66"/>
      <c r="G8" s="15"/>
      <c r="H8" s="67"/>
      <c r="I8" s="67">
        <v>256.36</v>
      </c>
      <c r="J8" s="13"/>
      <c r="K8" s="13"/>
      <c r="L8" s="13"/>
      <c r="M8" s="13"/>
      <c r="N8" s="13"/>
      <c r="O8" s="13"/>
    </row>
    <row r="9" ht="14.25" customHeight="1" spans="1:15">
      <c r="A9" s="62"/>
      <c r="B9" s="63" t="s">
        <v>195</v>
      </c>
      <c r="C9" s="64" t="s">
        <v>198</v>
      </c>
      <c r="D9" s="63" t="s">
        <v>199</v>
      </c>
      <c r="E9" s="65"/>
      <c r="F9" s="66"/>
      <c r="G9" s="15"/>
      <c r="H9" s="67"/>
      <c r="I9" s="67">
        <v>178.05</v>
      </c>
      <c r="J9" s="13"/>
      <c r="K9" s="13"/>
      <c r="L9" s="13"/>
      <c r="M9" s="13"/>
      <c r="N9" s="13"/>
      <c r="O9" s="13"/>
    </row>
    <row r="10" ht="14.25" customHeight="1" spans="1:15">
      <c r="A10" s="68"/>
      <c r="B10" s="69"/>
      <c r="C10" s="70"/>
      <c r="D10" s="69"/>
      <c r="E10" s="71"/>
      <c r="F10" s="72"/>
      <c r="G10" s="73"/>
      <c r="H10" s="74"/>
      <c r="I10" s="75"/>
      <c r="J10" s="13"/>
      <c r="K10" s="13"/>
      <c r="L10" s="13"/>
      <c r="M10" s="13"/>
      <c r="N10" s="13"/>
      <c r="O10" s="13"/>
    </row>
    <row r="11" ht="14.25" customHeight="1" spans="1:15">
      <c r="A11" s="76"/>
      <c r="B11" s="76"/>
      <c r="C11" s="77"/>
      <c r="D11" s="78"/>
      <c r="E11" s="79"/>
      <c r="F11" s="80"/>
      <c r="G11" s="80"/>
      <c r="H11" s="81" t="s">
        <v>66</v>
      </c>
      <c r="I11" s="82">
        <f>SUM(I8:I10)</f>
        <v>434.41</v>
      </c>
      <c r="J11" s="13"/>
      <c r="K11" s="13"/>
      <c r="L11" s="13"/>
      <c r="M11" s="13"/>
      <c r="N11" s="13"/>
      <c r="O11" s="13"/>
    </row>
    <row r="12" ht="14.25" customHeight="1" spans="1:15">
      <c r="A12" s="83"/>
      <c r="B12" s="83"/>
      <c r="C12" s="83"/>
      <c r="D12" s="83"/>
      <c r="E12" s="84"/>
      <c r="F12" s="49" t="s">
        <v>68</v>
      </c>
      <c r="G12" s="49"/>
      <c r="H12" s="50"/>
      <c r="I12" s="51"/>
      <c r="J12" s="13"/>
      <c r="K12" s="13"/>
      <c r="L12" s="13"/>
      <c r="M12" s="13"/>
      <c r="N12" s="13"/>
      <c r="O12" s="13"/>
    </row>
    <row r="13" ht="14.25" customHeight="1" spans="1:15">
      <c r="A13" s="83"/>
      <c r="B13" s="83"/>
      <c r="C13" s="83"/>
      <c r="D13" s="83"/>
      <c r="E13" s="84"/>
      <c r="F13" s="53"/>
      <c r="G13" s="53"/>
      <c r="H13" s="53"/>
      <c r="I13" s="54"/>
      <c r="J13" s="13"/>
      <c r="K13" s="13"/>
      <c r="L13" s="13"/>
      <c r="M13" s="13"/>
      <c r="N13" s="13"/>
      <c r="O13" s="13"/>
    </row>
    <row r="14" ht="14.25" customHeight="1" spans="1:15">
      <c r="A14" s="13"/>
      <c r="B14" s="13"/>
      <c r="C14" s="13"/>
      <c r="D14" s="59"/>
      <c r="E14" s="85"/>
      <c r="F14" s="86" t="s">
        <v>69</v>
      </c>
      <c r="G14" s="56"/>
      <c r="H14" s="56"/>
      <c r="I14" s="29"/>
      <c r="J14" s="13"/>
      <c r="K14" s="13"/>
      <c r="L14" s="13"/>
      <c r="M14" s="13"/>
      <c r="N14" s="13"/>
      <c r="O14" s="13"/>
    </row>
    <row r="15" ht="14.25" customHeight="1" spans="1:15">
      <c r="A15" s="13"/>
      <c r="B15" s="13"/>
      <c r="C15" s="13"/>
      <c r="D15" s="59"/>
      <c r="E15" s="85"/>
      <c r="F15" s="57" t="s">
        <v>70</v>
      </c>
      <c r="G15" s="11"/>
      <c r="H15" s="11"/>
      <c r="I15" s="58"/>
      <c r="J15" s="13"/>
      <c r="K15" s="13"/>
      <c r="L15" s="13"/>
      <c r="M15" s="13"/>
      <c r="N15" s="13"/>
      <c r="O15" s="13"/>
    </row>
    <row r="16" ht="14.25" customHeight="1" spans="1:15">
      <c r="A16" s="13"/>
      <c r="B16" s="13"/>
      <c r="C16" s="13"/>
      <c r="D16" s="59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customHeight="1" spans="1:15">
      <c r="A17" s="13"/>
      <c r="B17" s="13"/>
      <c r="C17" s="13"/>
      <c r="D17" s="59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4.25" customHeight="1" spans="1:15">
      <c r="A18" s="13"/>
      <c r="B18" s="13"/>
      <c r="C18" s="13"/>
      <c r="D18" s="5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4.25" customHeight="1" spans="1:15">
      <c r="A19" s="13"/>
      <c r="B19" s="13"/>
      <c r="C19" s="13"/>
      <c r="D19" s="5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4.25" customHeight="1" spans="1:15">
      <c r="A20" s="13"/>
      <c r="B20" s="13"/>
      <c r="C20" s="13"/>
      <c r="D20" s="5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4.25" customHeight="1" spans="1:15">
      <c r="A21" s="13"/>
      <c r="B21" s="13"/>
      <c r="C21" s="13"/>
      <c r="D21" s="5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4.25" customHeight="1" spans="1:15">
      <c r="A22" s="13"/>
      <c r="B22" s="13"/>
      <c r="C22" s="13"/>
      <c r="D22" s="59"/>
      <c r="E22" s="13"/>
      <c r="F22" s="13"/>
      <c r="G22" s="13"/>
      <c r="H22" s="13"/>
      <c r="I22" s="13"/>
      <c r="J22" s="87"/>
      <c r="K22" s="87"/>
      <c r="L22" s="87"/>
      <c r="M22" s="13"/>
      <c r="N22" s="13"/>
      <c r="O22" s="13"/>
    </row>
    <row r="23" ht="12.75" customHeight="1" spans="1:15">
      <c r="A23" s="13"/>
      <c r="B23" s="13"/>
      <c r="C23" s="13"/>
      <c r="D23" s="59"/>
      <c r="E23" s="13"/>
      <c r="F23" s="13"/>
      <c r="G23" s="13"/>
      <c r="H23" s="13"/>
      <c r="I23" s="13"/>
      <c r="J23" s="83"/>
      <c r="K23" s="83"/>
      <c r="L23" s="83"/>
      <c r="M23" s="83"/>
      <c r="N23" s="83"/>
      <c r="O23" s="83"/>
    </row>
    <row r="24" ht="12.75" customHeight="1" spans="1:15">
      <c r="A24" s="13"/>
      <c r="B24" s="13"/>
      <c r="C24" s="13"/>
      <c r="D24" s="59"/>
      <c r="E24" s="13"/>
      <c r="F24" s="13"/>
      <c r="G24" s="13"/>
      <c r="H24" s="13"/>
      <c r="I24" s="13"/>
      <c r="J24" s="83"/>
      <c r="K24" s="83"/>
      <c r="L24" s="83"/>
      <c r="M24" s="83"/>
      <c r="N24" s="83"/>
      <c r="O24" s="83"/>
    </row>
    <row r="25" ht="12.75" customHeight="1" spans="1:15">
      <c r="A25" s="13"/>
      <c r="B25" s="13"/>
      <c r="C25" s="13"/>
      <c r="D25" s="5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2.75" customHeight="1" spans="1:15">
      <c r="A26" s="13"/>
      <c r="B26" s="13"/>
      <c r="C26" s="13"/>
      <c r="D26" s="5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2.75" customHeight="1" spans="1:15">
      <c r="A27" s="13"/>
      <c r="B27" s="13"/>
      <c r="C27" s="13"/>
      <c r="D27" s="5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2.75" customHeight="1" spans="1:15">
      <c r="A28" s="13"/>
      <c r="B28" s="13"/>
      <c r="C28" s="13"/>
      <c r="D28" s="5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2.75" customHeight="1" spans="1:15">
      <c r="A29" s="13"/>
      <c r="B29" s="13"/>
      <c r="C29" s="13"/>
      <c r="D29" s="5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2.75" customHeight="1" spans="1:15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2.75" customHeight="1" spans="1:15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2.75" customHeight="1" spans="1:15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2.75" customHeight="1" spans="1:15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2.75" customHeight="1" spans="1:15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2.75" customHeight="1" spans="1:15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2.75" customHeight="1" spans="1:15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2.75" customHeight="1" spans="1:15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2.75" customHeight="1" spans="1:15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2.75" customHeight="1" spans="1:15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2.75" customHeight="1" spans="1:15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2.75" customHeight="1" spans="1:15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2.75" customHeight="1" spans="1:15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2.75" customHeight="1" spans="1:15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 spans="1:15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2.75" customHeight="1" spans="1:15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2.75" customHeight="1" spans="1:15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2.75" customHeight="1" spans="1:15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2.75" customHeight="1" spans="1:15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2.75" customHeight="1" spans="1:15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 spans="1:15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2.75" customHeight="1" spans="1:15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2.75" customHeight="1" spans="1:15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2.75" customHeight="1" spans="1:15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2.75" customHeight="1" spans="1:15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2.75" customHeight="1" spans="1:15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 spans="1:15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 spans="1:15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 spans="1:15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 spans="1:15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 spans="1:15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 spans="1:15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 spans="1:15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 spans="1:15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 spans="1:15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 spans="1:15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 spans="1:15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 spans="1:15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 spans="1:15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 spans="1:15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 spans="1:15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 spans="1:15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 spans="1:15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 spans="1:15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 spans="1:15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 spans="1:15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 spans="1:15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 spans="1:15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 spans="1:15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 spans="1:15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 spans="1:15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 spans="1:15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 spans="1:15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2.75" customHeight="1" spans="1:15">
      <c r="A83" s="13"/>
      <c r="B83" s="13"/>
      <c r="C83" s="13"/>
      <c r="D83" s="5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2.75" customHeight="1" spans="1:15">
      <c r="A84" s="13"/>
      <c r="B84" s="13"/>
      <c r="C84" s="13"/>
      <c r="D84" s="5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2.75" customHeight="1" spans="1:15">
      <c r="A85" s="13"/>
      <c r="B85" s="13"/>
      <c r="C85" s="13"/>
      <c r="D85" s="5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2.75" customHeight="1" spans="1:15">
      <c r="A86" s="13"/>
      <c r="B86" s="13"/>
      <c r="C86" s="13"/>
      <c r="D86" s="5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2.75" customHeight="1" spans="1:15">
      <c r="A87" s="13"/>
      <c r="B87" s="13"/>
      <c r="C87" s="13"/>
      <c r="D87" s="5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2.75" customHeight="1" spans="1:15">
      <c r="A88" s="13"/>
      <c r="B88" s="13"/>
      <c r="C88" s="13"/>
      <c r="D88" s="5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2.75" customHeight="1" spans="1:15">
      <c r="A89" s="13"/>
      <c r="B89" s="13"/>
      <c r="C89" s="13"/>
      <c r="D89" s="5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2.75" customHeight="1" spans="1:15">
      <c r="A90" s="13"/>
      <c r="B90" s="13"/>
      <c r="C90" s="13"/>
      <c r="D90" s="5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2.75" customHeight="1" spans="1:15">
      <c r="A91" s="13"/>
      <c r="B91" s="13"/>
      <c r="C91" s="13"/>
      <c r="D91" s="5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2.75" customHeight="1" spans="1:15">
      <c r="A92" s="13"/>
      <c r="B92" s="13"/>
      <c r="C92" s="13"/>
      <c r="D92" s="5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</sheetData>
  <mergeCells count="19">
    <mergeCell ref="D3:E3"/>
    <mergeCell ref="F3:I3"/>
    <mergeCell ref="D4:E4"/>
    <mergeCell ref="F4:I4"/>
    <mergeCell ref="F8:G8"/>
    <mergeCell ref="F9:G9"/>
    <mergeCell ref="F10:G10"/>
    <mergeCell ref="F14:I14"/>
    <mergeCell ref="F15:I15"/>
    <mergeCell ref="A6:A7"/>
    <mergeCell ref="B6:B7"/>
    <mergeCell ref="C6:C7"/>
    <mergeCell ref="D6:D7"/>
    <mergeCell ref="E6:E7"/>
    <mergeCell ref="H6:H7"/>
    <mergeCell ref="I6:I7"/>
    <mergeCell ref="A1:C5"/>
    <mergeCell ref="F6:G7"/>
    <mergeCell ref="D1:G2"/>
  </mergeCells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"/>
  <sheetViews>
    <sheetView zoomScale="85" zoomScaleNormal="85" workbookViewId="0">
      <selection activeCell="H5" sqref="H5"/>
    </sheetView>
  </sheetViews>
  <sheetFormatPr defaultColWidth="14.4444444444444" defaultRowHeight="15" customHeight="1"/>
  <cols>
    <col min="1" max="2" width="7.66666666666667" customWidth="1"/>
    <col min="3" max="3" width="40.1111111111111" customWidth="1"/>
    <col min="4" max="4" width="9.66666666666667" customWidth="1"/>
    <col min="5" max="5" width="10.5555555555556" customWidth="1"/>
    <col min="6" max="6" width="13.1111111111111" customWidth="1"/>
    <col min="7" max="7" width="8.33333333333333" customWidth="1"/>
    <col min="8" max="8" width="11.5555555555556" customWidth="1"/>
    <col min="9" max="9" width="11.6666666666667" customWidth="1"/>
    <col min="10" max="10" width="10.5555555555556" customWidth="1"/>
    <col min="11" max="11" width="10.1111111111111" customWidth="1"/>
    <col min="12" max="12" width="10.3333333333333" customWidth="1"/>
    <col min="13" max="15" width="9.11111111111111" customWidth="1"/>
  </cols>
  <sheetData>
    <row r="1" ht="14.25" customHeight="1" spans="1:20">
      <c r="A1" s="1" t="s">
        <v>30</v>
      </c>
      <c r="B1" s="2"/>
      <c r="C1" s="3"/>
      <c r="D1" s="4" t="s">
        <v>200</v>
      </c>
      <c r="E1" s="2"/>
      <c r="F1" s="2"/>
      <c r="G1" s="2"/>
      <c r="H1" s="5" t="s">
        <v>32</v>
      </c>
      <c r="I1" s="6">
        <f ca="1">TODAY()</f>
        <v>46154</v>
      </c>
      <c r="J1" s="7"/>
      <c r="K1" s="7"/>
      <c r="L1" s="7"/>
      <c r="M1" s="7"/>
      <c r="N1" s="7"/>
      <c r="O1" s="7"/>
    </row>
    <row r="2" ht="14.25" customHeight="1" spans="1:20">
      <c r="A2" s="8"/>
      <c r="C2" s="9"/>
      <c r="D2" s="10"/>
      <c r="E2" s="11"/>
      <c r="F2" s="11"/>
      <c r="G2" s="11"/>
      <c r="H2" s="12" t="s">
        <v>33</v>
      </c>
      <c r="I2" s="12" t="s">
        <v>34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ht="14.25" customHeight="1" spans="1:20">
      <c r="A3" s="8"/>
      <c r="C3" s="9"/>
      <c r="D3" s="14" t="s">
        <v>35</v>
      </c>
      <c r="E3" s="15"/>
      <c r="F3" s="16" t="s">
        <v>36</v>
      </c>
      <c r="G3" s="2"/>
      <c r="H3" s="2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ht="14.25" customHeight="1" spans="1:20">
      <c r="A4" s="8"/>
      <c r="C4" s="9"/>
      <c r="D4" s="14" t="s">
        <v>37</v>
      </c>
      <c r="E4" s="15"/>
      <c r="F4" s="14" t="s">
        <v>38</v>
      </c>
      <c r="G4" s="17"/>
      <c r="H4" s="17"/>
      <c r="I4" s="15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ht="14.25" customHeight="1" spans="1:20">
      <c r="A5" s="18"/>
      <c r="B5" s="19"/>
      <c r="C5" s="20"/>
      <c r="D5" s="21" t="s">
        <v>39</v>
      </c>
      <c r="E5" s="22" t="s">
        <v>41</v>
      </c>
      <c r="F5" s="23" t="s">
        <v>40</v>
      </c>
      <c r="G5" s="24" t="s">
        <v>41</v>
      </c>
      <c r="H5" s="25"/>
      <c r="I5" s="26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13.5" customHeight="1" spans="1:20">
      <c r="A6" s="27" t="s">
        <v>42</v>
      </c>
      <c r="B6" s="28" t="s">
        <v>44</v>
      </c>
      <c r="C6" s="29"/>
      <c r="D6" s="27" t="s">
        <v>45</v>
      </c>
      <c r="E6" s="27" t="s">
        <v>46</v>
      </c>
      <c r="F6" s="27" t="s">
        <v>201</v>
      </c>
      <c r="G6" s="27" t="s">
        <v>202</v>
      </c>
      <c r="H6" s="27" t="s">
        <v>47</v>
      </c>
      <c r="I6" s="27" t="s">
        <v>48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13.5" customHeight="1" spans="1:20">
      <c r="A7" s="30"/>
      <c r="B7" s="8"/>
      <c r="C7" s="9"/>
      <c r="D7" s="30"/>
      <c r="E7" s="30"/>
      <c r="F7" s="30"/>
      <c r="G7" s="30"/>
      <c r="H7" s="30"/>
      <c r="I7" s="3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ht="14.25" customHeight="1" spans="1:20">
      <c r="A8" s="31">
        <v>750</v>
      </c>
      <c r="B8" s="32" t="s">
        <v>203</v>
      </c>
      <c r="C8" s="33"/>
      <c r="D8" s="34" t="s">
        <v>204</v>
      </c>
      <c r="E8" s="35" t="s">
        <v>205</v>
      </c>
      <c r="F8" s="35" t="s">
        <v>206</v>
      </c>
      <c r="G8" s="36"/>
      <c r="H8" s="37" t="s">
        <v>207</v>
      </c>
      <c r="I8" s="37">
        <v>12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ht="14.25" customHeight="1" spans="1:20">
      <c r="A9" s="38">
        <v>1750</v>
      </c>
      <c r="B9" s="32" t="s">
        <v>208</v>
      </c>
      <c r="C9" s="33"/>
      <c r="D9" s="34" t="s">
        <v>209</v>
      </c>
      <c r="E9" s="34" t="s">
        <v>210</v>
      </c>
      <c r="F9" s="34" t="s">
        <v>197</v>
      </c>
      <c r="G9" s="39"/>
      <c r="H9" s="37" t="s">
        <v>207</v>
      </c>
      <c r="I9" s="37">
        <v>28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ht="14.25" customHeight="1" spans="1:20">
      <c r="A10" s="38">
        <v>2000</v>
      </c>
      <c r="B10" s="32" t="s">
        <v>203</v>
      </c>
      <c r="C10" s="33"/>
      <c r="D10" s="34" t="s">
        <v>204</v>
      </c>
      <c r="E10" s="34" t="s">
        <v>210</v>
      </c>
      <c r="F10" s="34" t="s">
        <v>197</v>
      </c>
      <c r="G10" s="39"/>
      <c r="H10" s="37" t="s">
        <v>207</v>
      </c>
      <c r="I10" s="37">
        <v>32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14.25" customHeight="1" spans="1:20">
      <c r="A11" s="38">
        <v>2750</v>
      </c>
      <c r="B11" s="32" t="s">
        <v>211</v>
      </c>
      <c r="C11" s="33"/>
      <c r="D11" s="34" t="s">
        <v>212</v>
      </c>
      <c r="E11" s="34" t="s">
        <v>205</v>
      </c>
      <c r="F11" s="34" t="s">
        <v>197</v>
      </c>
      <c r="G11" s="39"/>
      <c r="H11" s="40" t="s">
        <v>173</v>
      </c>
      <c r="I11" s="37">
        <v>27.5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ht="13.5" customHeight="1" spans="1:20">
      <c r="A12" s="38">
        <v>500</v>
      </c>
      <c r="B12" s="32" t="s">
        <v>213</v>
      </c>
      <c r="C12" s="33"/>
      <c r="D12" s="34" t="s">
        <v>214</v>
      </c>
      <c r="E12" s="34" t="s">
        <v>210</v>
      </c>
      <c r="F12" s="34" t="s">
        <v>215</v>
      </c>
      <c r="G12" s="39"/>
      <c r="H12" s="40" t="s">
        <v>216</v>
      </c>
      <c r="I12" s="37">
        <v>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3.5" customHeight="1" spans="1:20">
      <c r="A13" s="38">
        <v>1000</v>
      </c>
      <c r="B13" s="32" t="s">
        <v>217</v>
      </c>
      <c r="C13" s="33"/>
      <c r="D13" s="34" t="s">
        <v>218</v>
      </c>
      <c r="E13" s="34" t="s">
        <v>205</v>
      </c>
      <c r="F13" s="34" t="s">
        <v>197</v>
      </c>
      <c r="G13" s="39"/>
      <c r="H13" s="40" t="s">
        <v>216</v>
      </c>
      <c r="I13" s="37">
        <v>16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2.75" customHeight="1" spans="1:20">
      <c r="A14" s="38">
        <v>250</v>
      </c>
      <c r="B14" s="32" t="s">
        <v>219</v>
      </c>
      <c r="C14" s="33"/>
      <c r="D14" s="34" t="s">
        <v>220</v>
      </c>
      <c r="E14" s="34" t="s">
        <v>210</v>
      </c>
      <c r="F14" s="34" t="s">
        <v>215</v>
      </c>
      <c r="G14" s="39"/>
      <c r="H14" s="40" t="s">
        <v>221</v>
      </c>
      <c r="I14" s="37">
        <v>0.75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ht="12.75" customHeight="1" spans="1:20">
      <c r="A15" s="38">
        <v>250</v>
      </c>
      <c r="B15" s="32" t="s">
        <v>219</v>
      </c>
      <c r="C15" s="33"/>
      <c r="D15" s="34" t="s">
        <v>220</v>
      </c>
      <c r="E15" s="34"/>
      <c r="F15" s="34"/>
      <c r="G15" s="39"/>
      <c r="H15" s="40" t="s">
        <v>221</v>
      </c>
      <c r="I15" s="37">
        <v>0.75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ht="12.75" customHeight="1" spans="1:20">
      <c r="A16" s="38">
        <v>500</v>
      </c>
      <c r="B16" s="32" t="s">
        <v>213</v>
      </c>
      <c r="C16" s="33"/>
      <c r="D16" s="34" t="s">
        <v>214</v>
      </c>
      <c r="E16" s="34" t="s">
        <v>210</v>
      </c>
      <c r="F16" s="34" t="s">
        <v>215</v>
      </c>
      <c r="G16" s="39"/>
      <c r="H16" s="40" t="s">
        <v>216</v>
      </c>
      <c r="I16" s="37">
        <v>8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ht="12.75" customHeight="1" spans="1:20">
      <c r="A17" s="41">
        <v>1250</v>
      </c>
      <c r="B17" s="32" t="s">
        <v>203</v>
      </c>
      <c r="C17" s="33"/>
      <c r="D17" s="34" t="s">
        <v>204</v>
      </c>
      <c r="E17" s="42"/>
      <c r="F17" s="42"/>
      <c r="G17" s="39"/>
      <c r="H17" s="40" t="s">
        <v>207</v>
      </c>
      <c r="I17" s="37">
        <v>20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12.75" customHeight="1" spans="1:20">
      <c r="A18" s="38">
        <v>400</v>
      </c>
      <c r="B18" s="32" t="s">
        <v>203</v>
      </c>
      <c r="C18" s="33"/>
      <c r="D18" s="34" t="s">
        <v>222</v>
      </c>
      <c r="E18" s="34" t="s">
        <v>205</v>
      </c>
      <c r="F18" s="34" t="s">
        <v>197</v>
      </c>
      <c r="G18" s="39"/>
      <c r="H18" s="40" t="s">
        <v>80</v>
      </c>
      <c r="I18" s="37">
        <v>50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12.75" customHeight="1" spans="1:20">
      <c r="A19" s="41">
        <v>250</v>
      </c>
      <c r="B19" s="32" t="s">
        <v>223</v>
      </c>
      <c r="C19" s="33"/>
      <c r="D19" s="34" t="s">
        <v>224</v>
      </c>
      <c r="E19" s="42"/>
      <c r="F19" s="42"/>
      <c r="G19" s="39"/>
      <c r="H19" s="40" t="s">
        <v>225</v>
      </c>
      <c r="I19" s="37">
        <v>18.57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ht="12.75" customHeight="1" spans="1:20">
      <c r="A20" s="41">
        <v>750</v>
      </c>
      <c r="B20" s="32" t="s">
        <v>211</v>
      </c>
      <c r="C20" s="33"/>
      <c r="D20" s="34" t="s">
        <v>212</v>
      </c>
      <c r="E20" s="42"/>
      <c r="F20" s="42"/>
      <c r="G20" s="39"/>
      <c r="H20" s="40" t="s">
        <v>173</v>
      </c>
      <c r="I20" s="37">
        <v>5.3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ht="12.75" customHeight="1" spans="1:20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ht="12.75" customHeight="1" spans="1:20">
      <c r="A22" s="13"/>
      <c r="B22" s="13"/>
      <c r="C22" s="13"/>
      <c r="D22" s="13"/>
      <c r="E22" s="13"/>
      <c r="F22" s="43"/>
      <c r="G22" s="44"/>
      <c r="H22" s="45" t="s">
        <v>66</v>
      </c>
      <c r="I22" s="46">
        <f>SUM(I3:I19)</f>
        <v>221.57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ht="12.75" customHeight="1" spans="1:20">
      <c r="A23" s="13"/>
      <c r="B23" s="13"/>
      <c r="C23" s="13"/>
      <c r="D23" s="13"/>
      <c r="E23" s="47"/>
      <c r="F23" s="48" t="s">
        <v>68</v>
      </c>
      <c r="G23" s="49"/>
      <c r="H23" s="50"/>
      <c r="I23" s="51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ht="12.75" customHeight="1" spans="1:20">
      <c r="A24" s="13"/>
      <c r="B24" s="13"/>
      <c r="C24" s="13"/>
      <c r="D24" s="13"/>
      <c r="E24" s="47"/>
      <c r="F24" s="52"/>
      <c r="G24" s="53"/>
      <c r="H24" s="53"/>
      <c r="I24" s="54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ht="12.75" customHeight="1" spans="1:20">
      <c r="A25" s="13"/>
      <c r="B25" s="13"/>
      <c r="C25" s="13"/>
      <c r="D25" s="13"/>
      <c r="E25" s="47"/>
      <c r="F25" s="55" t="s">
        <v>69</v>
      </c>
      <c r="G25" s="56"/>
      <c r="H25" s="56"/>
      <c r="I25" s="29"/>
      <c r="J25" s="13"/>
      <c r="K25" s="13"/>
      <c r="L25" s="13"/>
      <c r="M25" s="13"/>
      <c r="N25" s="13"/>
      <c r="O25" s="13"/>
      <c r="P25" s="13"/>
    </row>
    <row r="26" ht="12.75" customHeight="1" spans="1:20">
      <c r="A26" s="13"/>
      <c r="B26" s="13"/>
      <c r="C26" s="13"/>
      <c r="D26" s="13"/>
      <c r="F26" s="57" t="s">
        <v>70</v>
      </c>
      <c r="G26" s="11"/>
      <c r="H26" s="11"/>
      <c r="I26" s="58"/>
      <c r="J26" s="13"/>
      <c r="K26" s="13"/>
      <c r="L26" s="13"/>
      <c r="M26" s="13"/>
      <c r="N26" s="13"/>
      <c r="O26" s="13"/>
      <c r="P26" s="13"/>
    </row>
    <row r="27" ht="12.75" customHeight="1" spans="1:20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ht="12.75" customHeight="1" spans="1:20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ht="12.75" customHeight="1" spans="1:20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ht="12.75" customHeight="1" spans="1:20">
      <c r="A30" s="13"/>
      <c r="B30" s="13"/>
      <c r="C30" s="13"/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ht="12.75" customHeight="1" spans="1:20">
      <c r="A31" s="13"/>
      <c r="B31" s="13"/>
      <c r="C31" s="13"/>
      <c r="D31" s="5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ht="12.75" customHeight="1" spans="1:20">
      <c r="A32" s="13"/>
      <c r="B32" s="13"/>
      <c r="C32" s="13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ht="12.75" customHeight="1" spans="1:16">
      <c r="A33" s="13"/>
      <c r="B33" s="13"/>
      <c r="C33" s="13"/>
      <c r="D33" s="5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ht="12.75" customHeight="1" spans="1:16">
      <c r="A34" s="13"/>
      <c r="B34" s="13"/>
      <c r="C34" s="13"/>
      <c r="D34" s="5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2.75" customHeight="1" spans="1:16">
      <c r="A35" s="13"/>
      <c r="B35" s="13"/>
      <c r="C35" s="13"/>
      <c r="D35" s="5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2.75" customHeight="1" spans="1:16">
      <c r="A36" s="13"/>
      <c r="B36" s="13"/>
      <c r="C36" s="13"/>
      <c r="D36" s="5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2.75" customHeight="1" spans="1:16">
      <c r="A37" s="13"/>
      <c r="B37" s="13"/>
      <c r="C37" s="13"/>
      <c r="D37" s="5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2.75" customHeight="1" spans="1:16">
      <c r="A38" s="13"/>
      <c r="B38" s="13"/>
      <c r="C38" s="13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2.75" customHeight="1" spans="1:16">
      <c r="A39" s="13"/>
      <c r="B39" s="13"/>
      <c r="C39" s="13"/>
      <c r="D39" s="5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2.75" customHeight="1" spans="1:16">
      <c r="A40" s="13"/>
      <c r="B40" s="13"/>
      <c r="C40" s="13"/>
      <c r="D40" s="5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2.75" customHeight="1" spans="1:16">
      <c r="A41" s="13"/>
      <c r="B41" s="13"/>
      <c r="C41" s="13"/>
      <c r="D41" s="5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2.75" customHeight="1" spans="1:16">
      <c r="A42" s="13"/>
      <c r="B42" s="13"/>
      <c r="C42" s="13"/>
      <c r="D42" s="5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2.75" customHeight="1" spans="1:16">
      <c r="A43" s="13"/>
      <c r="B43" s="13"/>
      <c r="C43" s="13"/>
      <c r="D43" s="5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 spans="1:16">
      <c r="A44" s="13"/>
      <c r="B44" s="13"/>
      <c r="C44" s="13"/>
      <c r="D44" s="5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2.75" customHeight="1" spans="1:16">
      <c r="A45" s="13"/>
      <c r="B45" s="13"/>
      <c r="C45" s="13"/>
      <c r="D45" s="5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2.75" customHeight="1" spans="1:16">
      <c r="A46" s="13"/>
      <c r="B46" s="13"/>
      <c r="C46" s="13"/>
      <c r="D46" s="5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2.75" customHeight="1" spans="1:16">
      <c r="A47" s="13"/>
      <c r="B47" s="13"/>
      <c r="C47" s="13"/>
      <c r="D47" s="5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2.75" customHeight="1" spans="1:16">
      <c r="A48" s="13"/>
      <c r="B48" s="13"/>
      <c r="C48" s="13"/>
      <c r="D48" s="5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2.75" customHeight="1" spans="1:15">
      <c r="A49" s="13"/>
      <c r="B49" s="13"/>
      <c r="C49" s="13"/>
      <c r="D49" s="5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 spans="1:15">
      <c r="A50" s="13"/>
      <c r="B50" s="13"/>
      <c r="C50" s="13"/>
      <c r="D50" s="5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2.75" customHeight="1" spans="1:15">
      <c r="A51" s="13"/>
      <c r="B51" s="13"/>
      <c r="C51" s="13"/>
      <c r="D51" s="5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2.75" customHeight="1" spans="1:15">
      <c r="A52" s="13"/>
      <c r="B52" s="13"/>
      <c r="C52" s="13"/>
      <c r="D52" s="5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2.75" customHeight="1" spans="1:15">
      <c r="A53" s="13"/>
      <c r="B53" s="13"/>
      <c r="C53" s="13"/>
      <c r="D53" s="5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2.75" customHeight="1" spans="1:15">
      <c r="A54" s="13"/>
      <c r="B54" s="13"/>
      <c r="C54" s="13"/>
      <c r="D54" s="5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2.75" customHeight="1" spans="1:15">
      <c r="A55" s="13"/>
      <c r="B55" s="13"/>
      <c r="C55" s="13"/>
      <c r="D55" s="5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2.75" customHeight="1" spans="1:15">
      <c r="A56" s="13"/>
      <c r="B56" s="13"/>
      <c r="C56" s="13"/>
      <c r="D56" s="5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2.75" customHeight="1" spans="1:15">
      <c r="A57" s="13"/>
      <c r="B57" s="13"/>
      <c r="C57" s="13"/>
      <c r="D57" s="5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2.75" customHeight="1" spans="1:15">
      <c r="A58" s="13"/>
      <c r="B58" s="13"/>
      <c r="C58" s="13"/>
      <c r="D58" s="5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2.75" customHeight="1" spans="1:15">
      <c r="A59" s="13"/>
      <c r="B59" s="13"/>
      <c r="C59" s="13"/>
      <c r="D59" s="5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 spans="1:15">
      <c r="A60" s="13"/>
      <c r="B60" s="13"/>
      <c r="C60" s="13"/>
      <c r="D60" s="5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2.75" customHeight="1" spans="1:15">
      <c r="A61" s="13"/>
      <c r="B61" s="13"/>
      <c r="C61" s="13"/>
      <c r="D61" s="5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2.75" customHeight="1" spans="1:15">
      <c r="A62" s="13"/>
      <c r="B62" s="13"/>
      <c r="C62" s="13"/>
      <c r="D62" s="5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2.75" customHeight="1" spans="1:15">
      <c r="A63" s="13"/>
      <c r="B63" s="13"/>
      <c r="C63" s="13"/>
      <c r="D63" s="5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2.75" customHeight="1" spans="1:15">
      <c r="A64" s="13"/>
      <c r="B64" s="13"/>
      <c r="C64" s="13"/>
      <c r="D64" s="5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2.75" customHeight="1" spans="1:15">
      <c r="A65" s="13"/>
      <c r="B65" s="13"/>
      <c r="C65" s="13"/>
      <c r="D65" s="5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2.75" customHeight="1" spans="1:15">
      <c r="A66" s="13"/>
      <c r="B66" s="13"/>
      <c r="C66" s="13"/>
      <c r="D66" s="5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2.75" customHeight="1" spans="1:15">
      <c r="A67" s="13"/>
      <c r="B67" s="13"/>
      <c r="C67" s="13"/>
      <c r="D67" s="5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2.75" customHeight="1" spans="1:15">
      <c r="A68" s="13"/>
      <c r="B68" s="13"/>
      <c r="C68" s="13"/>
      <c r="D68" s="5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2.75" customHeight="1" spans="1:15">
      <c r="A69" s="13"/>
      <c r="B69" s="13"/>
      <c r="C69" s="13"/>
      <c r="D69" s="5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2.75" customHeight="1" spans="1:15">
      <c r="A70" s="13"/>
      <c r="B70" s="13"/>
      <c r="C70" s="13"/>
      <c r="D70" s="5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2.75" customHeight="1" spans="1:15">
      <c r="A71" s="13"/>
      <c r="B71" s="13"/>
      <c r="C71" s="13"/>
      <c r="D71" s="5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2.75" customHeight="1" spans="1:15">
      <c r="A72" s="13"/>
      <c r="B72" s="13"/>
      <c r="C72" s="13"/>
      <c r="D72" s="5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2.75" customHeight="1" spans="1:15">
      <c r="A73" s="13"/>
      <c r="B73" s="13"/>
      <c r="C73" s="13"/>
      <c r="D73" s="5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2.75" customHeight="1" spans="1:15">
      <c r="A74" s="13"/>
      <c r="B74" s="13"/>
      <c r="C74" s="13"/>
      <c r="D74" s="5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2.75" customHeight="1" spans="1:15">
      <c r="A75" s="13"/>
      <c r="B75" s="13"/>
      <c r="C75" s="13"/>
      <c r="D75" s="5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2.75" customHeight="1" spans="1:15">
      <c r="A76" s="13"/>
      <c r="B76" s="13"/>
      <c r="C76" s="13"/>
      <c r="D76" s="5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2.75" customHeight="1" spans="1:15">
      <c r="A77" s="13"/>
      <c r="B77" s="13"/>
      <c r="C77" s="13"/>
      <c r="D77" s="5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2.75" customHeight="1" spans="1:15">
      <c r="A78" s="13"/>
      <c r="B78" s="13"/>
      <c r="C78" s="13"/>
      <c r="D78" s="5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2.75" customHeight="1" spans="1:15">
      <c r="A79" s="13"/>
      <c r="B79" s="13"/>
      <c r="C79" s="13"/>
      <c r="D79" s="5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2.75" customHeight="1" spans="1:15">
      <c r="A80" s="13"/>
      <c r="B80" s="13"/>
      <c r="C80" s="13"/>
      <c r="D80" s="5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2.75" customHeight="1" spans="1:15">
      <c r="A81" s="13"/>
      <c r="B81" s="13"/>
      <c r="C81" s="13"/>
      <c r="D81" s="5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2.75" customHeight="1" spans="1:15">
      <c r="A82" s="13"/>
      <c r="B82" s="13"/>
      <c r="C82" s="13"/>
      <c r="D82" s="5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</sheetData>
  <mergeCells count="29">
    <mergeCell ref="D3:E3"/>
    <mergeCell ref="F3:I3"/>
    <mergeCell ref="D4:E4"/>
    <mergeCell ref="F4:I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F25:I25"/>
    <mergeCell ref="F26:I26"/>
    <mergeCell ref="A6:A7"/>
    <mergeCell ref="D6:D7"/>
    <mergeCell ref="E6:E7"/>
    <mergeCell ref="F6:F7"/>
    <mergeCell ref="G6:G7"/>
    <mergeCell ref="H6:H7"/>
    <mergeCell ref="I6:I7"/>
    <mergeCell ref="B6:C7"/>
    <mergeCell ref="A1:C5"/>
    <mergeCell ref="D1:G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Unknown Organization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Cover </vt:lpstr>
      <vt:lpstr>1. STUDS &amp; TOP CHANNELS</vt:lpstr>
      <vt:lpstr>2. DOOR JAMBS &amp; HEADERS</vt:lpstr>
      <vt:lpstr>3. PURLINS, EAVE STRUTS, WALL G</vt:lpstr>
      <vt:lpstr>4. ROOF &amp; WALL SHEETING</vt:lpstr>
      <vt:lpstr>5. CONNECTION PLATES</vt:lpstr>
      <vt:lpstr>6. ANGLES</vt:lpstr>
      <vt:lpstr>7. TRIM</vt:lpstr>
      <vt:lpstr>8.ACCESSORIES</vt:lpstr>
      <vt:lpstr>9.FASTENERS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Haleema Sadiya</cp:lastModifiedBy>
  <dcterms:created xsi:type="dcterms:W3CDTF">2001-11-23T14:07:00Z</dcterms:created>
  <cp:lastPrinted>2026-01-12T07:58:00Z</cp:lastPrinted>
  <dcterms:modified xsi:type="dcterms:W3CDTF">2026-05-12T15:57:10Z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ICV">
    <vt:lpwstr>B493B13B04E54217A615F2DA11DAF7E3_13</vt:lpwstr>
  </property>
  <property fmtid="{D5CDD505-2E9C-101B-9397-08002B2CF9AE}" pid="4" name="CalculationRule">
    <vt:i4>0</vt:i4>
  </property>
</Properties>
</file>